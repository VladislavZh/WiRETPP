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50bbe3926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all" sheetId="1" r:id="R60db3bf0421d435f"/>
    <x:sheet xmlns:r="http://schemas.openxmlformats.org/officeDocument/2006/relationships" name="Purity" sheetId="2" r:id="R0fc23b18126e49db"/>
    <x:sheet xmlns:r="http://schemas.openxmlformats.org/officeDocument/2006/relationships" name="By Dataset" sheetId="3" r:id="R835de96a902c41dc"/>
    <x:sheet xmlns:r="http://schemas.openxmlformats.org/officeDocument/2006/relationships" name="Paired Seeds" sheetId="4" r:id="R2c56106f13d445d0"/>
    <x:sheet xmlns:r="http://schemas.openxmlformats.org/officeDocument/2006/relationships" name="Long Results" sheetId="5" r:id="Re83905838a924354"/>
    <x:sheet xmlns:r="http://schemas.openxmlformats.org/officeDocument/2006/relationships" name="Protocol" sheetId="6" r:id="R45d53cb481cc45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000"/>
    <x:numFmt numFmtId="202" formatCode="0.0000"/>
    <x:numFmt numFmtId="203" formatCode="0"/>
  </x:numFmts>
  <x:fonts count="5">
    <x:font>
      <x:sz val="11"/>
      <x:name val="Carlito"/>
    </x:font>
    <x:font>
      <x:b/>
      <x:sz val="11"/>
      <x:color rgb="FFFFFFFF"/>
      <x:name val="Aptos"/>
    </x:font>
    <x:font>
      <x:b/>
      <x:sz val="11"/>
      <x:name val="Aptos"/>
    </x:font>
    <x:font>
      <x:sz val="11"/>
      <x:name val="Aptos"/>
    </x:font>
    <x:font>
      <x:b/>
      <x:sz val="16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7E6E6"/>
      </x:patternFill>
    </x:fill>
  </x:fills>
  <x:borders count="5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bottom style="double">
        <x:color rgb="FF7F7F7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3" borderId="4" xfId="0" applyNumberFormat="1" applyFont="1" applyFill="1" applyBorder="1"/>
    <x:xf numFmtId="202" fontId="2" fillId="3" borderId="4" xfId="0" applyNumberFormat="1" applyFont="1" applyFill="1" applyBorder="1"/>
    <x:xf numFmtId="201" fontId="2" fillId="3" borderId="4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1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ed957e1d5c4470" /><Relationship Type="http://schemas.openxmlformats.org/officeDocument/2006/relationships/theme" Target="/xl/theme/theme1.xml" Id="Rea81a5439a8947d1" /><Relationship Type="http://schemas.openxmlformats.org/officeDocument/2006/relationships/sharedStrings" Target="/xl/sharedStrings.xml" Id="R476e22920d244c56" /><Relationship Type="http://schemas.openxmlformats.org/officeDocument/2006/relationships/worksheet" Target="/xl/worksheets/sheet1.xml" Id="R60db3bf0421d435f" /><Relationship Type="http://schemas.openxmlformats.org/officeDocument/2006/relationships/worksheet" Target="/xl/worksheets/sheet2.xml" Id="R0fc23b18126e49db" /><Relationship Type="http://schemas.openxmlformats.org/officeDocument/2006/relationships/worksheet" Target="/xl/worksheets/sheet3.xml" Id="R835de96a902c41dc" /><Relationship Type="http://schemas.openxmlformats.org/officeDocument/2006/relationships/worksheet" Target="/xl/worksheets/sheet4.xml" Id="R2c56106f13d445d0" /><Relationship Type="http://schemas.openxmlformats.org/officeDocument/2006/relationships/worksheet" Target="/xl/worksheets/sheet5.xml" Id="Re83905838a924354" /><Relationship Type="http://schemas.openxmlformats.org/officeDocument/2006/relationships/worksheet" Target="/xl/worksheets/sheet6.xml" Id="R45d53cb481cc45c5" /></Relationships>
</file>

<file path=xl/tables/table1.xml><?xml version="1.0" encoding="utf-8"?>
<x:table xmlns:x="http://schemas.openxmlformats.org/spreadsheetml/2006/main" id="2" name="PuritySummaryTable" displayName="PuritySummaryTable" ref="A1:AB14" headerRowCount="1" totalsRowCount="0" totalsRowShown="0">
  <x:tableColumns count="28">
    <x:tableColumn id="1" name="Dataset"/>
    <x:tableColumn id="2" name="n"/>
    <x:tableColumn id="3" name="Pure test purity mean"/>
    <x:tableColumn id="4" name="Pure test purity std"/>
    <x:tableColumn id="5" name="Validation purity a1 mean"/>
    <x:tableColumn id="6" name="Validation purity a1 std"/>
    <x:tableColumn id="7" name="Validation purity a81 mean"/>
    <x:tableColumn id="8" name="Validation purity a81 std"/>
    <x:tableColumn id="9" name="Delta validation mean"/>
    <x:tableColumn id="10" name="Delta validation std"/>
    <x:tableColumn id="11" name="Validation wins"/>
    <x:tableColumn id="12" name="Prior purity a1 mean"/>
    <x:tableColumn id="13" name="Prior purity a1 std"/>
    <x:tableColumn id="14" name="Prior purity a81 mean"/>
    <x:tableColumn id="15" name="Prior purity a81 std"/>
    <x:tableColumn id="16" name="Delta prior mean"/>
    <x:tableColumn id="17" name="Delta prior std"/>
    <x:tableColumn id="18" name="Prior wins"/>
    <x:tableColumn id="19" name="Posterior purity a1 mean"/>
    <x:tableColumn id="20" name="Posterior purity a1 std"/>
    <x:tableColumn id="21" name="Posterior purity a81 mean"/>
    <x:tableColumn id="22" name="Posterior purity a81 std"/>
    <x:tableColumn id="23" name="Delta posterior mean"/>
    <x:tableColumn id="24" name="Delta posterior std"/>
    <x:tableColumn id="25" name="Posterior wins"/>
    <x:tableColumn id="26" name="Validation &lt;0.90 a1"/>
    <x:tableColumn id="27" name="Validation &lt;0.90 a81"/>
    <x:tableColumn id="28" name="Below-0.90 preven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airedSeedTable" displayName="PairedSeedTable" ref="A1:AT37" headerRowCount="1" totalsRowCount="0" totalsRowShown="0">
  <x:tableColumns count="46">
    <x:tableColumn id="1" name="dataset"/>
    <x:tableColumn id="2" name="seed"/>
    <x:tableColumn id="3" name="dirichlet_source"/>
    <x:tableColumn id="4" name="pure_test_nll"/>
    <x:tableColumn id="5" name="a1_test_nll"/>
    <x:tableColumn id="6" name="a81_test_nll"/>
    <x:tableColumn id="7" name="delta_a81_a1_test_nll"/>
    <x:tableColumn id="8" name="delta_a81_pure_test_nll"/>
    <x:tableColumn id="9" name="a81_win_vs_a1"/>
    <x:tableColumn id="10" name="a81_win_vs_pure"/>
    <x:tableColumn id="11" name="pure_purity"/>
    <x:tableColumn id="12" name="pure_ari"/>
    <x:tableColumn id="13" name="a1_best_cycle"/>
    <x:tableColumn id="14" name="a81_best_cycle"/>
    <x:tableColumn id="15" name="a1_validation_nll"/>
    <x:tableColumn id="16" name="a81_validation_nll"/>
    <x:tableColumn id="17" name="a1_validation_purity"/>
    <x:tableColumn id="18" name="a81_validation_purity"/>
    <x:tableColumn id="19" name="a1_alpha"/>
    <x:tableColumn id="20" name="a81_alpha"/>
    <x:tableColumn id="21" name="a1_weights"/>
    <x:tableColumn id="22" name="a81_weights"/>
    <x:tableColumn id="23" name="a1_min_weight"/>
    <x:tableColumn id="24" name="a81_min_weight"/>
    <x:tableColumn id="25" name="a1_responsibility_min_mass"/>
    <x:tableColumn id="26" name="a81_responsibility_min_mass"/>
    <x:tableColumn id="27" name="a1_prior_purity"/>
    <x:tableColumn id="28" name="a81_prior_purity"/>
    <x:tableColumn id="29" name="a1_posterior_purity"/>
    <x:tableColumn id="30" name="a81_posterior_purity"/>
    <x:tableColumn id="31" name="a1_prior_ari"/>
    <x:tableColumn id="32" name="a81_prior_ari"/>
    <x:tableColumn id="33" name="a1_posterior_ari"/>
    <x:tableColumn id="34" name="a81_posterior_ari"/>
    <x:tableColumn id="35" name="a1_near_collapse"/>
    <x:tableColumn id="36" name="a81_near_collapse"/>
    <x:tableColumn id="37" name="near_collapse_prevented"/>
    <x:tableColumn id="38" name="near_collapse_introduced"/>
    <x:tableColumn id="39" name="a1_validation_purity_below_0_90"/>
    <x:tableColumn id="40" name="a81_validation_purity_below_0_90"/>
    <x:tableColumn id="41" name="delta_validation_purity"/>
    <x:tableColumn id="42" name="delta_prior_purity"/>
    <x:tableColumn id="43" name="delta_posterior_purity"/>
    <x:tableColumn id="44" name="a81_validation_purity_win"/>
    <x:tableColumn id="45" name="a81_prior_purity_win"/>
    <x:tableColumn id="46" name="a81_posterior_purity_wi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ngResultsTable" displayName="LongResultsTable" ref="A1:Q109" headerRowCount="1" totalsRowCount="0" totalsRowShown="0">
  <x:tableColumns count="17">
    <x:tableColumn id="1" name="dataset"/>
    <x:tableColumn id="2" name="seed"/>
    <x:tableColumn id="3" name="variant"/>
    <x:tableColumn id="4" name="a_pi"/>
    <x:tableColumn id="5" name="source"/>
    <x:tableColumn id="6" name="test_nll"/>
    <x:tableColumn id="7" name="test_purity"/>
    <x:tableColumn id="8" name="test_ari"/>
    <x:tableColumn id="9" name="posterior_purity"/>
    <x:tableColumn id="10" name="posterior_ari"/>
    <x:tableColumn id="11" name="best_step_or_cycle"/>
    <x:tableColumn id="12" name="validation_nll"/>
    <x:tableColumn id="13" name="validation_purity"/>
    <x:tableColumn id="14" name="alpha"/>
    <x:tableColumn id="15" name="weights"/>
    <x:tableColumn id="16" name="min_weight"/>
    <x:tableColumn id="17" name="responsibility_min_m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7e086d417349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ed53923983c48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fc272a776b54c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20" hidden="0" customWidth="1"/>
    <x:col min="5" max="5" width="12" hidden="0" customWidth="1"/>
  </x:cols>
  <x:sheetData>
    <x:row r="1" ht="30" customHeight="1">
      <x:c r="A1" s="22" t="str">
        <x:v>DAN all-12: Dirichlet mixture-weight prior (a_pi=81)</x:v>
      </x:c>
      <x:c r="B1" s="22"/>
      <x:c r="C1" s="22"/>
      <x:c r="D1" s="22"/>
    </x:row>
    <x:row r="3">
      <x:c r="A3" s="7" t="str">
        <x:v>Metric</x:v>
      </x:c>
      <x:c r="B3" s="15" t="str">
        <x:v>Baseline a1</x:v>
      </x:c>
      <x:c r="C3" s="15" t="str">
        <x:v>Dirichlet a81</x:v>
      </x:c>
      <x:c r="D3" s="8" t="str">
        <x:v>Change (a81-a1)</x:v>
      </x:c>
    </x:row>
    <x:row r="4">
      <x:c r="A4" s="10" t="str">
        <x:v>Test NLL mean</x:v>
      </x:c>
      <x:c r="B4" s="16" t="n">
        <x:f>AVERAGE('Paired Seeds'!E2:E37)</x:f>
        <x:v>2.640174979964892</x:v>
      </x:c>
      <x:c r="C4" s="16" t="n">
        <x:f>AVERAGE('Paired Seeds'!F2:F37)</x:f>
        <x:v>2.6453094714217715</x:v>
      </x:c>
      <x:c r="D4" s="16" t="n">
        <x:f>C4-B4</x:f>
        <x:v>0.0051344914568796085</x:v>
      </x:c>
    </x:row>
    <x:row r="5">
      <x:c r="A5" s="10" t="str">
        <x:v>Test NLL std</x:v>
      </x:c>
      <x:c r="B5" s="16" t="n">
        <x:f>STDEV.S('Paired Seeds'!E2:E37)</x:f>
        <x:v>1.156433046238351</x:v>
      </x:c>
      <x:c r="C5" s="16" t="n">
        <x:f>STDEV.S('Paired Seeds'!F2:F37)</x:f>
        <x:v>1.1531964747745727</x:v>
      </x:c>
      <x:c r="D5" s="16" t="n">
        <x:f>C5-B5</x:f>
        <x:v>-0.003236571463778315</x:v>
      </x:c>
    </x:row>
    <x:row r="6">
      <x:c r="A6" s="10" t="str">
        <x:v>Validation NLL mean</x:v>
      </x:c>
      <x:c r="B6" s="16" t="n">
        <x:f>AVERAGE('Paired Seeds'!O2:O37)</x:f>
        <x:v>2.6889311605029635</x:v>
      </x:c>
      <x:c r="C6" s="16" t="n">
        <x:f>AVERAGE('Paired Seeds'!P2:P37)</x:f>
        <x:v>2.6941754387484655</x:v>
      </x:c>
      <x:c r="D6" s="16" t="n">
        <x:f>C6-B6</x:f>
        <x:v>0.005244278245501999</x:v>
      </x:c>
    </x:row>
    <x:row r="7">
      <x:c r="A7" s="10" t="str">
        <x:v>Validation purity mean</x:v>
      </x:c>
      <x:c r="B7" s="16" t="n">
        <x:f>AVERAGE('Paired Seeds'!Q2:Q37)</x:f>
        <x:v>0.9590972222222222</x:v>
      </x:c>
      <x:c r="C7" s="16" t="n">
        <x:f>AVERAGE('Paired Seeds'!R2:R37)</x:f>
        <x:v>0.9709837962962963</x:v>
      </x:c>
      <x:c r="D7" s="16" t="n">
        <x:f>C7-B7</x:f>
        <x:v>0.011886574074074119</x:v>
      </x:c>
    </x:row>
    <x:row r="8">
      <x:c r="A8" s="10" t="str">
        <x:v>Selected min weight mean</x:v>
      </x:c>
      <x:c r="B8" s="16" t="n">
        <x:f>AVERAGE('Paired Seeds'!W2:W37)</x:f>
        <x:v>0.28496960799718596</x:v>
      </x:c>
      <x:c r="C8" s="16" t="n">
        <x:f>AVERAGE('Paired Seeds'!X2:X37)</x:f>
        <x:v>0.30416833919885866</x:v>
      </x:c>
      <x:c r="D8" s="16" t="n">
        <x:f>C8-B8</x:f>
        <x:v>0.019198731201672703</x:v>
      </x:c>
    </x:row>
    <x:row r="9">
      <x:c r="A9" s="10" t="str">
        <x:v>Responsibility min mass mean</x:v>
      </x:c>
      <x:c r="B9" s="16" t="n">
        <x:f>AVERAGE('Paired Seeds'!Y2:Y37)</x:f>
        <x:v>275.7455272144741</x:v>
      </x:c>
      <x:c r="C9" s="16" t="n">
        <x:f>AVERAGE('Paired Seeds'!Z2:Z37)</x:f>
        <x:v>295.96779908074274</x:v>
      </x:c>
      <x:c r="D9" s="16" t="n">
        <x:f>C9-B9</x:f>
        <x:v>20.222271866268613</x:v>
      </x:c>
    </x:row>
    <x:row r="10">
      <x:c r="A10" s="10" t="str">
        <x:v>Prior purity mean</x:v>
      </x:c>
      <x:c r="B10" s="16" t="n">
        <x:f>AVERAGE('Paired Seeds'!AA2:AA37)</x:f>
        <x:v>0.9631250000000002</x:v>
      </x:c>
      <x:c r="C10" s="16" t="n">
        <x:f>AVERAGE('Paired Seeds'!AB2:AB37)</x:f>
        <x:v>0.975787037037037</x:v>
      </x:c>
      <x:c r="D10" s="16" t="n">
        <x:f>C10-B10</x:f>
        <x:v>0.012662037037036722</x:v>
      </x:c>
    </x:row>
    <x:row r="11">
      <x:c r="A11" s="10" t="str">
        <x:v>Posterior purity mean</x:v>
      </x:c>
      <x:c r="B11" s="16" t="n">
        <x:f>AVERAGE('Paired Seeds'!AC2:AC37)</x:f>
        <x:v>0.9637268518518519</x:v>
      </x:c>
      <x:c r="C11" s="16" t="n">
        <x:f>AVERAGE('Paired Seeds'!AD2:AD37)</x:f>
        <x:v>0.9760648148148149</x:v>
      </x:c>
      <x:c r="D11" s="16" t="n">
        <x:f>C11-B11</x:f>
        <x:v>0.012337962962962967</x:v>
      </x:c>
    </x:row>
    <x:row r="12">
      <x:c r="A12" s="10" t="str">
        <x:v>Prior ARI mean</x:v>
      </x:c>
      <x:c r="B12" s="16" t="n">
        <x:f>AVERAGE('Paired Seeds'!AE2:AE37)</x:f>
        <x:v>0.9311777232054522</x:v>
      </x:c>
      <x:c r="C12" s="16" t="n">
        <x:f>AVERAGE('Paired Seeds'!AF2:AF37)</x:f>
        <x:v>0.9455165104170583</x:v>
      </x:c>
      <x:c r="D12" s="16" t="n">
        <x:f>C12-B12</x:f>
        <x:v>0.014338787211606085</x:v>
      </x:c>
    </x:row>
    <x:row r="13">
      <x:c r="A13" s="10" t="str">
        <x:v>Posterior ARI mean</x:v>
      </x:c>
      <x:c r="B13" s="16" t="n">
        <x:f>AVERAGE('Paired Seeds'!AG2:AG37)</x:f>
        <x:v>0.9317506137828899</x:v>
      </x:c>
      <x:c r="C13" s="16" t="n">
        <x:f>AVERAGE('Paired Seeds'!AH2:AH37)</x:f>
        <x:v>0.945366602559271</x:v>
      </x:c>
      <x:c r="D13" s="16" t="n">
        <x:f>C13-B13</x:f>
        <x:v>0.013615988776381038</x:v>
      </x:c>
    </x:row>
    <x:row r="14">
      <x:c r="A14" s="10" t="str">
        <x:v>Learned alpha mean</x:v>
      </x:c>
      <x:c r="B14" s="16" t="n">
        <x:f>AVERAGE('Paired Seeds'!S2:S37)</x:f>
        <x:v>0.18999500704344416</x:v>
      </x:c>
      <x:c r="C14" s="16" t="n">
        <x:f>AVERAGE('Paired Seeds'!T2:T37)</x:f>
        <x:v>0.19445736182154919</x:v>
      </x:c>
      <x:c r="D14" s="16" t="n">
        <x:f>C14-B14</x:f>
        <x:v>0.0044623547781050266</x:v>
      </x:c>
    </x:row>
    <x:row r="15">
      <x:c r="A15" s="10" t="str">
        <x:v>Near-collapse count</x:v>
      </x:c>
      <x:c r="B15" s="23" t="n">
        <x:f>SUM('Paired Seeds'!AI2:AI37)</x:f>
        <x:v>3</x:v>
      </x:c>
      <x:c r="C15" s="23" t="n">
        <x:f>SUM('Paired Seeds'!AJ2:AJ37)</x:f>
        <x:v>0</x:v>
      </x:c>
      <x:c r="D15" s="23" t="n">
        <x:f>C15-B15</x:f>
        <x:v>-3</x:v>
      </x:c>
    </x:row>
    <x:row r="16">
      <x:c r="A16" s="10" t="str">
        <x:v>Validation purity &lt; 0.90 count</x:v>
      </x:c>
      <x:c r="B16" s="23" t="n">
        <x:f>SUM('Paired Seeds'!AM2:AM37)</x:f>
        <x:v>5</x:v>
      </x:c>
      <x:c r="C16" s="23" t="n">
        <x:f>SUM('Paired Seeds'!AN2:AN37)</x:f>
        <x:v>2</x:v>
      </x:c>
      <x:c r="D16" s="23" t="n">
        <x:f>C16-B16</x:f>
        <x:v>-3</x:v>
      </x:c>
    </x:row>
    <x:row r="19">
      <x:c r="A19" s="7" t="str">
        <x:v>Comparator</x:v>
      </x:c>
      <x:c r="B19" s="15" t="str">
        <x:v>Mean NLL delta</x:v>
      </x:c>
      <x:c r="C19" s="15" t="str">
        <x:v>Delta std</x:v>
      </x:c>
      <x:c r="D19" s="15" t="str">
        <x:v>a81 wins</x:v>
      </x:c>
      <x:c r="E19" s="8" t="str">
        <x:v>Pairs</x:v>
      </x:c>
    </x:row>
    <x:row r="20">
      <x:c r="A20" s="10" t="str">
        <x:v>Baseline a1</x:v>
      </x:c>
      <x:c r="B20" s="16" t="n">
        <x:f>AVERAGE('Paired Seeds'!G2:G37)</x:f>
        <x:v>0.00513449145687951</x:v>
      </x:c>
      <x:c r="C20" s="16" t="n">
        <x:f>STDEV.S('Paired Seeds'!G2:G37)</x:f>
        <x:v>0.048686370007642754</x:v>
      </x:c>
      <x:c r="D20" t="n">
        <x:f>SUM('Paired Seeds'!I2:I37)</x:f>
        <x:v>12</x:v>
      </x:c>
      <x:c r="E20" t="n">
        <x:f>COUNT('Paired Seeds'!B2:B37)</x:f>
        <x:v>36</x:v>
      </x:c>
    </x:row>
    <x:row r="21">
      <x:c r="A21" s="10" t="str">
        <x:v>Pure</x:v>
      </x:c>
      <x:c r="B21" s="16" t="n">
        <x:f>AVERAGE('Paired Seeds'!H2:H37)</x:f>
        <x:v>0.012987037499745687</x:v>
      </x:c>
      <x:c r="C21" s="16" t="n">
        <x:f>STDEV.S('Paired Seeds'!H2:H37)</x:f>
        <x:v>0.057320113165266764</x:v>
      </x:c>
      <x:c r="D21" t="n">
        <x:f>SUM('Paired Seeds'!J2:J37)</x:f>
        <x:v>17</x:v>
      </x:c>
      <x:c r="E21" t="n">
        <x:f>COUNT('Paired Seeds'!B2:B37)</x:f>
        <x:v>36</x:v>
      </x:c>
    </x:row>
    <x:row r="24">
      <x:c r="A24" s="2" t="str">
        <x:v>Interpretation</x:v>
      </x:c>
      <x:c r="B24" s="2"/>
      <x:c r="C24" s="2"/>
      <x:c r="D24" s="2"/>
      <x:c r="E24" s="2"/>
    </x:row>
    <x:row r="25" ht="36" customHeight="1">
      <x:c r="A25" s="10" t="str">
        <x:v>Occupancy</x:v>
      </x:c>
      <x:c r="B25" s="25" t="str">
        <x:v>Near-collapse cases fall from 3/36 to 0/36; no new collapses.</x:v>
      </x:c>
      <x:c r="C25" s="25"/>
      <x:c r="D25" s="25"/>
      <x:c r="E25" s="25"/>
    </x:row>
    <x:row r="26" ht="36" customHeight="1">
      <x:c r="A26" s="10" t="str">
        <x:v>Clustering</x:v>
      </x:c>
      <x:c r="B26" s="25" t="str">
        <x:v>Mean validation/prior/posterior purity and ARI improve, concentrated in difficult sinusoidal cases.</x:v>
      </x:c>
      <x:c r="C26" s="25"/>
      <x:c r="D26" s="25"/>
      <x:c r="E26" s="25"/>
    </x:row>
    <x:row r="27" ht="36" customHeight="1">
      <x:c r="A27" s="10" t="str">
        <x:v>Recommendation</x:v>
      </x:c>
      <x:c r="B27" s="25" t="str">
        <x:v>Do not make a_pi=81 the global default: mean test NLL worsens and a81 beats a1 on only 12/36 pairs. Use targeted or validation-selected regularization.</x:v>
      </x:c>
      <x:c r="C27" s="25"/>
      <x:c r="D27" s="25"/>
      <x:c r="E27" s="25"/>
    </x:row>
  </x:sheetData>
  <x:mergeCells>
    <x:mergeCell ref="A1:D1"/>
    <x:mergeCell ref="A24:E24"/>
    <x:mergeCell ref="B25:E25"/>
    <x:mergeCell ref="B26:E26"/>
    <x:mergeCell ref="B27:E27"/>
  </x:mergeCells>
  <x:conditionalFormatting sqref="D4:D6">
    <x:cfRule type="cellIs" dxfId="13" priority="1" operator="lessThan">
      <x:formula>0</x:formula>
    </x:cfRule>
    <x:cfRule type="cellIs" dxfId="14" priority="2" operator="greaterThan">
      <x:formula>0</x:formula>
    </x:cfRule>
  </x:conditionalFormatting>
  <x:conditionalFormatting sqref="D7:D13">
    <x:cfRule type="cellIs" dxfId="15" priority="3" operator="greaterThan">
      <x:formula>0</x:formula>
    </x:cfRule>
    <x:cfRule type="cellIs" dxfId="16" priority="4" operator="lessThan">
      <x:formula>0</x:formula>
    </x:cfRule>
  </x:conditionalFormatting>
  <x:conditionalFormatting sqref="D15:D16">
    <x:cfRule type="cellIs" dxfId="17" priority="5" operator="lessThan">
      <x:formula>0</x:formula>
    </x:cfRule>
    <x:cfRule type="cellIs" dxfId="18" priority="6" operator="greaterThan">
      <x:formula>0</x:formula>
    </x:cfRule>
  </x:conditionalFormatting>
  <x:conditionalFormatting sqref="B20:B21">
    <x:cfRule type="cellIs" dxfId="19" priority="7" operator="lessThan">
      <x:formula>0</x:formula>
    </x:cfRule>
    <x:cfRule type="cellIs" dxfId="20" priority="8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>
      <x:c r="A1" s="7" t="str">
        <x:v>Dataset</x:v>
      </x:c>
      <x:c r="B1" s="15" t="str">
        <x:v>n</x:v>
      </x:c>
      <x:c r="C1" s="15" t="str">
        <x:v>Pure test purity mean</x:v>
      </x:c>
      <x:c r="D1" s="15" t="str">
        <x:v>Pure test purity std</x:v>
      </x:c>
      <x:c r="E1" s="15" t="str">
        <x:v>Validation purity a1 mean</x:v>
      </x:c>
      <x:c r="F1" s="15" t="str">
        <x:v>Validation purity a1 std</x:v>
      </x:c>
      <x:c r="G1" s="15" t="str">
        <x:v>Validation purity a81 mean</x:v>
      </x:c>
      <x:c r="H1" s="15" t="str">
        <x:v>Validation purity a81 std</x:v>
      </x:c>
      <x:c r="I1" s="15" t="str">
        <x:v>Delta validation mean</x:v>
      </x:c>
      <x:c r="J1" s="15" t="str">
        <x:v>Delta validation std</x:v>
      </x:c>
      <x:c r="K1" s="15" t="str">
        <x:v>Validation wins</x:v>
      </x:c>
      <x:c r="L1" s="15" t="str">
        <x:v>Prior purity a1 mean</x:v>
      </x:c>
      <x:c r="M1" s="15" t="str">
        <x:v>Prior purity a1 std</x:v>
      </x:c>
      <x:c r="N1" s="15" t="str">
        <x:v>Prior purity a81 mean</x:v>
      </x:c>
      <x:c r="O1" s="15" t="str">
        <x:v>Prior purity a81 std</x:v>
      </x:c>
      <x:c r="P1" s="15" t="str">
        <x:v>Delta prior mean</x:v>
      </x:c>
      <x:c r="Q1" s="15" t="str">
        <x:v>Delta prior std</x:v>
      </x:c>
      <x:c r="R1" s="15" t="str">
        <x:v>Prior wins</x:v>
      </x:c>
      <x:c r="S1" s="15" t="str">
        <x:v>Posterior purity a1 mean</x:v>
      </x:c>
      <x:c r="T1" s="15" t="str">
        <x:v>Posterior purity a1 std</x:v>
      </x:c>
      <x:c r="U1" s="15" t="str">
        <x:v>Posterior purity a81 mean</x:v>
      </x:c>
      <x:c r="V1" s="15" t="str">
        <x:v>Posterior purity a81 std</x:v>
      </x:c>
      <x:c r="W1" s="15" t="str">
        <x:v>Delta posterior mean</x:v>
      </x:c>
      <x:c r="X1" s="15" t="str">
        <x:v>Delta posterior std</x:v>
      </x:c>
      <x:c r="Y1" s="15" t="str">
        <x:v>Posterior wins</x:v>
      </x:c>
      <x:c r="Z1" s="15" t="str">
        <x:v>Validation &lt;0.90 a1</x:v>
      </x:c>
      <x:c r="AA1" s="15" t="str">
        <x:v>Validation &lt;0.90 a81</x:v>
      </x:c>
      <x:c r="AB1" s="8" t="str">
        <x:v>Below-0.90 prevented</x:v>
      </x:c>
    </x:row>
    <x:row r="2">
      <x:c r="A2" t="str">
        <x:v>K2_C5</x:v>
      </x:c>
      <x:c r="B2" t="n">
        <x:f>COUNT('Paired Seeds'!B2:B4)</x:f>
        <x:v>3</x:v>
      </x:c>
      <x:c r="C2" s="17" t="n">
        <x:f>AVERAGE('Paired Seeds'!K2:K4)</x:f>
        <x:v>1</x:v>
      </x:c>
      <x:c r="D2" s="17" t="n">
        <x:f>STDEV.S('Paired Seeds'!K2:K4)</x:f>
        <x:v>0</x:v>
      </x:c>
      <x:c r="E2" s="17" t="n">
        <x:f>AVERAGE('Paired Seeds'!Q2:Q4)</x:f>
        <x:v>1</x:v>
      </x:c>
      <x:c r="F2" s="17" t="n">
        <x:f>STDEV.S('Paired Seeds'!Q2:Q4)</x:f>
        <x:v>0</x:v>
      </x:c>
      <x:c r="G2" s="17" t="n">
        <x:f>AVERAGE('Paired Seeds'!R2:R4)</x:f>
        <x:v>1</x:v>
      </x:c>
      <x:c r="H2" s="17" t="n">
        <x:f>STDEV.S('Paired Seeds'!R2:R4)</x:f>
        <x:v>0</x:v>
      </x:c>
      <x:c r="I2" s="17" t="n">
        <x:f>AVERAGE('Paired Seeds'!AO2:AO4)</x:f>
        <x:v>0</x:v>
      </x:c>
      <x:c r="J2" s="17" t="n">
        <x:f>STDEV.S('Paired Seeds'!AO2:AO4)</x:f>
        <x:v>0</x:v>
      </x:c>
      <x:c r="K2" t="n">
        <x:f>SUM('Paired Seeds'!AR2:AR4)</x:f>
        <x:v>0</x:v>
      </x:c>
      <x:c r="L2" s="17" t="n">
        <x:f>AVERAGE('Paired Seeds'!AA2:AA4)</x:f>
        <x:v>1</x:v>
      </x:c>
      <x:c r="M2" s="17" t="n">
        <x:f>STDEV.S('Paired Seeds'!AA2:AA4)</x:f>
        <x:v>0</x:v>
      </x:c>
      <x:c r="N2" s="17" t="n">
        <x:f>AVERAGE('Paired Seeds'!AB2:AB4)</x:f>
        <x:v>1</x:v>
      </x:c>
      <x:c r="O2" s="17" t="n">
        <x:f>STDEV.S('Paired Seeds'!AB2:AB4)</x:f>
        <x:v>0</x:v>
      </x:c>
      <x:c r="P2" s="17" t="n">
        <x:f>AVERAGE('Paired Seeds'!AP2:AP4)</x:f>
        <x:v>0</x:v>
      </x:c>
      <x:c r="Q2" s="17" t="n">
        <x:f>STDEV.S('Paired Seeds'!AP2:AP4)</x:f>
        <x:v>0</x:v>
      </x:c>
      <x:c r="R2" t="n">
        <x:f>SUM('Paired Seeds'!AS2:AS4)</x:f>
        <x:v>0</x:v>
      </x:c>
      <x:c r="S2" s="17" t="n">
        <x:f>AVERAGE('Paired Seeds'!AC2:AC4)</x:f>
        <x:v>1</x:v>
      </x:c>
      <x:c r="T2" s="17" t="n">
        <x:f>STDEV.S('Paired Seeds'!AC2:AC4)</x:f>
        <x:v>0</x:v>
      </x:c>
      <x:c r="U2" s="17" t="n">
        <x:f>AVERAGE('Paired Seeds'!AD2:AD4)</x:f>
        <x:v>1</x:v>
      </x:c>
      <x:c r="V2" s="17" t="n">
        <x:f>STDEV.S('Paired Seeds'!AD2:AD4)</x:f>
        <x:v>0</x:v>
      </x:c>
      <x:c r="W2" s="17" t="n">
        <x:f>AVERAGE('Paired Seeds'!AQ2:AQ4)</x:f>
        <x:v>0</x:v>
      </x:c>
      <x:c r="X2" s="17" t="n">
        <x:f>STDEV.S('Paired Seeds'!AQ2:AQ4)</x:f>
        <x:v>0</x:v>
      </x:c>
      <x:c r="Y2" t="n">
        <x:f>SUM('Paired Seeds'!AT2:AT4)</x:f>
        <x:v>0</x:v>
      </x:c>
      <x:c r="Z2" t="n">
        <x:f>SUM('Paired Seeds'!AM2:AM4)</x:f>
        <x:v>0</x:v>
      </x:c>
      <x:c r="AA2" t="n">
        <x:f>SUM('Paired Seeds'!AN2:AN4)</x:f>
        <x:v>0</x:v>
      </x:c>
      <x:c r="AB2" t="n">
        <x:f>SUM('Paired Seeds'!AM2:AM4)-SUM('Paired Seeds'!AN2:AN4)</x:f>
        <x:v>0</x:v>
      </x:c>
    </x:row>
    <x:row r="3">
      <x:c r="A3" t="str">
        <x:v>K3_C5</x:v>
      </x:c>
      <x:c r="B3" t="n">
        <x:f>COUNT('Paired Seeds'!B5:B7)</x:f>
        <x:v>3</x:v>
      </x:c>
      <x:c r="C3" s="17" t="n">
        <x:f>AVERAGE('Paired Seeds'!K5:K7)</x:f>
        <x:v>1</x:v>
      </x:c>
      <x:c r="D3" s="17" t="n">
        <x:f>STDEV.S('Paired Seeds'!K5:K7)</x:f>
        <x:v>0</x:v>
      </x:c>
      <x:c r="E3" s="17" t="n">
        <x:f>AVERAGE('Paired Seeds'!Q5:Q7)</x:f>
        <x:v>1</x:v>
      </x:c>
      <x:c r="F3" s="17" t="n">
        <x:f>STDEV.S('Paired Seeds'!Q5:Q7)</x:f>
        <x:v>0</x:v>
      </x:c>
      <x:c r="G3" s="17" t="n">
        <x:f>AVERAGE('Paired Seeds'!R5:R7)</x:f>
        <x:v>1</x:v>
      </x:c>
      <x:c r="H3" s="17" t="n">
        <x:f>STDEV.S('Paired Seeds'!R5:R7)</x:f>
        <x:v>0</x:v>
      </x:c>
      <x:c r="I3" s="17" t="n">
        <x:f>AVERAGE('Paired Seeds'!AO5:AO7)</x:f>
        <x:v>0</x:v>
      </x:c>
      <x:c r="J3" s="17" t="n">
        <x:f>STDEV.S('Paired Seeds'!AO5:AO7)</x:f>
        <x:v>0</x:v>
      </x:c>
      <x:c r="K3" t="n">
        <x:f>SUM('Paired Seeds'!AR5:AR7)</x:f>
        <x:v>0</x:v>
      </x:c>
      <x:c r="L3" s="17" t="n">
        <x:f>AVERAGE('Paired Seeds'!AA5:AA7)</x:f>
        <x:v>1</x:v>
      </x:c>
      <x:c r="M3" s="17" t="n">
        <x:f>STDEV.S('Paired Seeds'!AA5:AA7)</x:f>
        <x:v>0</x:v>
      </x:c>
      <x:c r="N3" s="17" t="n">
        <x:f>AVERAGE('Paired Seeds'!AB5:AB7)</x:f>
        <x:v>0.9944444444444445</x:v>
      </x:c>
      <x:c r="O3" s="17" t="n">
        <x:f>STDEV.S('Paired Seeds'!AB5:AB7)</x:f>
        <x:v>0.009622504486493794</x:v>
      </x:c>
      <x:c r="P3" s="17" t="n">
        <x:f>AVERAGE('Paired Seeds'!AP5:AP7)</x:f>
        <x:v>-0.005555555555555573</x:v>
      </x:c>
      <x:c r="Q3" s="17" t="n">
        <x:f>STDEV.S('Paired Seeds'!AP5:AP7)</x:f>
        <x:v>0.009622504486493792</x:v>
      </x:c>
      <x:c r="R3" t="n">
        <x:f>SUM('Paired Seeds'!AS5:AS7)</x:f>
        <x:v>0</x:v>
      </x:c>
      <x:c r="S3" s="17" t="n">
        <x:f>AVERAGE('Paired Seeds'!AC5:AC7)</x:f>
        <x:v>1</x:v>
      </x:c>
      <x:c r="T3" s="17" t="n">
        <x:f>STDEV.S('Paired Seeds'!AC5:AC7)</x:f>
        <x:v>0</x:v>
      </x:c>
      <x:c r="U3" s="17" t="n">
        <x:f>AVERAGE('Paired Seeds'!AD5:AD7)</x:f>
        <x:v>0.9944444444444445</x:v>
      </x:c>
      <x:c r="V3" s="17" t="n">
        <x:f>STDEV.S('Paired Seeds'!AD5:AD7)</x:f>
        <x:v>0.009622504486493794</x:v>
      </x:c>
      <x:c r="W3" s="17" t="n">
        <x:f>AVERAGE('Paired Seeds'!AQ5:AQ7)</x:f>
        <x:v>-0.005555555555555573</x:v>
      </x:c>
      <x:c r="X3" s="17" t="n">
        <x:f>STDEV.S('Paired Seeds'!AQ5:AQ7)</x:f>
        <x:v>0.009622504486493792</x:v>
      </x:c>
      <x:c r="Y3" t="n">
        <x:f>SUM('Paired Seeds'!AT5:AT7)</x:f>
        <x:v>0</x:v>
      </x:c>
      <x:c r="Z3" t="n">
        <x:f>SUM('Paired Seeds'!AM5:AM7)</x:f>
        <x:v>0</x:v>
      </x:c>
      <x:c r="AA3" t="n">
        <x:f>SUM('Paired Seeds'!AN5:AN7)</x:f>
        <x:v>0</x:v>
      </x:c>
      <x:c r="AB3" t="n">
        <x:f>SUM('Paired Seeds'!AM5:AM7)-SUM('Paired Seeds'!AN5:AN7)</x:f>
        <x:v>0</x:v>
      </x:c>
    </x:row>
    <x:row r="4">
      <x:c r="A4" t="str">
        <x:v>K4_C5</x:v>
      </x:c>
      <x:c r="B4" t="n">
        <x:f>COUNT('Paired Seeds'!B8:B10)</x:f>
        <x:v>3</x:v>
      </x:c>
      <x:c r="C4" s="17" t="n">
        <x:f>AVERAGE('Paired Seeds'!K8:K10)</x:f>
        <x:v>0.7020833333333334</x:v>
      </x:c>
      <x:c r="D4" s="17" t="n">
        <x:f>STDEV.S('Paired Seeds'!K8:K10)</x:f>
        <x:v>0.1479460064798416</x:v>
      </x:c>
      <x:c r="E4" s="17" t="n">
        <x:f>AVERAGE('Paired Seeds'!Q8:Q10)</x:f>
        <x:v>1</x:v>
      </x:c>
      <x:c r="F4" s="17" t="n">
        <x:f>STDEV.S('Paired Seeds'!Q8:Q10)</x:f>
        <x:v>0</x:v>
      </x:c>
      <x:c r="G4" s="17" t="n">
        <x:f>AVERAGE('Paired Seeds'!R8:R10)</x:f>
        <x:v>1</x:v>
      </x:c>
      <x:c r="H4" s="17" t="n">
        <x:f>STDEV.S('Paired Seeds'!R8:R10)</x:f>
        <x:v>0</x:v>
      </x:c>
      <x:c r="I4" s="17" t="n">
        <x:f>AVERAGE('Paired Seeds'!AO8:AO10)</x:f>
        <x:v>0</x:v>
      </x:c>
      <x:c r="J4" s="17" t="n">
        <x:f>STDEV.S('Paired Seeds'!AO8:AO10)</x:f>
        <x:v>0</x:v>
      </x:c>
      <x:c r="K4" t="n">
        <x:f>SUM('Paired Seeds'!AR8:AR10)</x:f>
        <x:v>0</x:v>
      </x:c>
      <x:c r="L4" s="17" t="n">
        <x:f>AVERAGE('Paired Seeds'!AA8:AA10)</x:f>
        <x:v>1</x:v>
      </x:c>
      <x:c r="M4" s="17" t="n">
        <x:f>STDEV.S('Paired Seeds'!AA8:AA10)</x:f>
        <x:v>0</x:v>
      </x:c>
      <x:c r="N4" s="17" t="n">
        <x:f>AVERAGE('Paired Seeds'!AB8:AB10)</x:f>
        <x:v>1</x:v>
      </x:c>
      <x:c r="O4" s="17" t="n">
        <x:f>STDEV.S('Paired Seeds'!AB8:AB10)</x:f>
        <x:v>0</x:v>
      </x:c>
      <x:c r="P4" s="17" t="n">
        <x:f>AVERAGE('Paired Seeds'!AP8:AP10)</x:f>
        <x:v>0</x:v>
      </x:c>
      <x:c r="Q4" s="17" t="n">
        <x:f>STDEV.S('Paired Seeds'!AP8:AP10)</x:f>
        <x:v>0</x:v>
      </x:c>
      <x:c r="R4" t="n">
        <x:f>SUM('Paired Seeds'!AS8:AS10)</x:f>
        <x:v>0</x:v>
      </x:c>
      <x:c r="S4" s="17" t="n">
        <x:f>AVERAGE('Paired Seeds'!AC8:AC10)</x:f>
        <x:v>1</x:v>
      </x:c>
      <x:c r="T4" s="17" t="n">
        <x:f>STDEV.S('Paired Seeds'!AC8:AC10)</x:f>
        <x:v>0</x:v>
      </x:c>
      <x:c r="U4" s="17" t="n">
        <x:f>AVERAGE('Paired Seeds'!AD8:AD10)</x:f>
        <x:v>1</x:v>
      </x:c>
      <x:c r="V4" s="17" t="n">
        <x:f>STDEV.S('Paired Seeds'!AD8:AD10)</x:f>
        <x:v>0</x:v>
      </x:c>
      <x:c r="W4" s="17" t="n">
        <x:f>AVERAGE('Paired Seeds'!AQ8:AQ10)</x:f>
        <x:v>0</x:v>
      </x:c>
      <x:c r="X4" s="17" t="n">
        <x:f>STDEV.S('Paired Seeds'!AQ8:AQ10)</x:f>
        <x:v>0</x:v>
      </x:c>
      <x:c r="Y4" t="n">
        <x:f>SUM('Paired Seeds'!AT8:AT10)</x:f>
        <x:v>0</x:v>
      </x:c>
      <x:c r="Z4" t="n">
        <x:f>SUM('Paired Seeds'!AM8:AM10)</x:f>
        <x:v>0</x:v>
      </x:c>
      <x:c r="AA4" t="n">
        <x:f>SUM('Paired Seeds'!AN8:AN10)</x:f>
        <x:v>0</x:v>
      </x:c>
      <x:c r="AB4" t="n">
        <x:f>SUM('Paired Seeds'!AM8:AM10)-SUM('Paired Seeds'!AN8:AN10)</x:f>
        <x:v>0</x:v>
      </x:c>
    </x:row>
    <x:row r="5">
      <x:c r="A5" t="str">
        <x:v>K5_C5</x:v>
      </x:c>
      <x:c r="B5" t="n">
        <x:f>COUNT('Paired Seeds'!B11:B13)</x:f>
        <x:v>3</x:v>
      </x:c>
      <x:c r="C5" s="17" t="n">
        <x:f>AVERAGE('Paired Seeds'!K11:K13)</x:f>
        <x:v>0.7933333333333333</x:v>
      </x:c>
      <x:c r="D5" s="17" t="n">
        <x:f>STDEV.S('Paired Seeds'!K11:K13)</x:f>
        <x:v>0.0028867513459481316</x:v>
      </x:c>
      <x:c r="E5" s="17" t="n">
        <x:f>AVERAGE('Paired Seeds'!Q11:Q13)</x:f>
        <x:v>0.9233333333333333</x:v>
      </x:c>
      <x:c r="F5" s="17" t="n">
        <x:f>STDEV.S('Paired Seeds'!Q11:Q13)</x:f>
        <x:v>0.07505553499465135</x:v>
      </x:c>
      <x:c r="G5" s="17" t="n">
        <x:f>AVERAGE('Paired Seeds'!R11:R13)</x:f>
        <x:v>0.9633333333333334</x:v>
      </x:c>
      <x:c r="H5" s="17" t="n">
        <x:f>STDEV.S('Paired Seeds'!R11:R13)</x:f>
        <x:v>0.055075705472861</x:v>
      </x:c>
      <x:c r="I5" s="17" t="n">
        <x:f>AVERAGE('Paired Seeds'!AO11:AO13)</x:f>
        <x:v>0.04</x:v>
      </x:c>
      <x:c r="J5" s="17" t="n">
        <x:f>STDEV.S('Paired Seeds'!AO11:AO13)</x:f>
        <x:v>0.036055512754639876</x:v>
      </x:c>
      <x:c r="K5" t="n">
        <x:f>SUM('Paired Seeds'!AR11:AR13)</x:f>
        <x:v>2</x:v>
      </x:c>
      <x:c r="L5" s="17" t="n">
        <x:f>AVERAGE('Paired Seeds'!AA11:AA13)</x:f>
        <x:v>0.91</x:v>
      </x:c>
      <x:c r="M5" s="17" t="n">
        <x:f>STDEV.S('Paired Seeds'!AA11:AA13)</x:f>
        <x:v>0.10476163419878479</x:v>
      </x:c>
      <x:c r="N5" s="17" t="n">
        <x:f>AVERAGE('Paired Seeds'!AB11:AB13)</x:f>
        <x:v>0.96</x:v>
      </x:c>
      <x:c r="O5" s="17" t="n">
        <x:f>STDEV.S('Paired Seeds'!AB11:AB13)</x:f>
        <x:v>0.052915026221291794</x:v>
      </x:c>
      <x:c r="P5" s="17" t="n">
        <x:f>AVERAGE('Paired Seeds'!AP11:AP13)</x:f>
        <x:v>0.04999999999999997</x:v>
      </x:c>
      <x:c r="Q5" s="17" t="n">
        <x:f>STDEV.S('Paired Seeds'!AP11:AP13)</x:f>
        <x:v>0.052678268764263694</x:v>
      </x:c>
      <x:c r="R5" t="n">
        <x:f>SUM('Paired Seeds'!AS11:AS13)</x:f>
        <x:v>2</x:v>
      </x:c>
      <x:c r="S5" s="17" t="n">
        <x:f>AVERAGE('Paired Seeds'!AC11:AC13)</x:f>
        <x:v>0.9116666666666666</x:v>
      </x:c>
      <x:c r="T5" s="17" t="n">
        <x:f>STDEV.S('Paired Seeds'!AC11:AC13)</x:f>
        <x:v>0.10539607835841582</x:v>
      </x:c>
      <x:c r="U5" s="17" t="n">
        <x:f>AVERAGE('Paired Seeds'!AD11:AD13)</x:f>
        <x:v>0.96</x:v>
      </x:c>
      <x:c r="V5" s="17" t="n">
        <x:f>STDEV.S('Paired Seeds'!AD11:AD13)</x:f>
        <x:v>0.052915026221291794</x:v>
      </x:c>
      <x:c r="W5" s="17" t="n">
        <x:f>AVERAGE('Paired Seeds'!AQ11:AQ13)</x:f>
        <x:v>0.04833333333333334</x:v>
      </x:c>
      <x:c r="X5" s="17" t="n">
        <x:f>STDEV.S('Paired Seeds'!AQ11:AQ13)</x:f>
        <x:v>0.052993710318615474</x:v>
      </x:c>
      <x:c r="Y5" t="n">
        <x:f>SUM('Paired Seeds'!AT11:AT13)</x:f>
        <x:v>2</x:v>
      </x:c>
      <x:c r="Z5" t="n">
        <x:f>SUM('Paired Seeds'!AM11:AM13)</x:f>
        <x:v>1</x:v>
      </x:c>
      <x:c r="AA5" t="n">
        <x:f>SUM('Paired Seeds'!AN11:AN13)</x:f>
        <x:v>0</x:v>
      </x:c>
      <x:c r="AB5" t="n">
        <x:f>SUM('Paired Seeds'!AM11:AM13)-SUM('Paired Seeds'!AN11:AN13)</x:f>
        <x:v>1</x:v>
      </x:c>
    </x:row>
    <x:row r="6">
      <x:c r="A6" t="str">
        <x:v>sin_K2_C5</x:v>
      </x:c>
      <x:c r="B6" t="n">
        <x:f>COUNT('Paired Seeds'!B14:B16)</x:f>
        <x:v>3</x:v>
      </x:c>
      <x:c r="C6" s="17" t="n">
        <x:f>AVERAGE('Paired Seeds'!K14:K16)</x:f>
        <x:v>1</x:v>
      </x:c>
      <x:c r="D6" s="17" t="n">
        <x:f>STDEV.S('Paired Seeds'!K14:K16)</x:f>
        <x:v>0</x:v>
      </x:c>
      <x:c r="E6" s="17" t="n">
        <x:f>AVERAGE('Paired Seeds'!Q14:Q16)</x:f>
        <x:v>0.9875000000000002</x:v>
      </x:c>
      <x:c r="F6" s="17" t="n">
        <x:f>STDEV.S('Paired Seeds'!Q14:Q16)</x:f>
        <x:v>1.3597399555105182e-16</x:v>
      </x:c>
      <x:c r="G6" s="17" t="n">
        <x:f>AVERAGE('Paired Seeds'!R14:R16)</x:f>
        <x:v>0.9875000000000002</x:v>
      </x:c>
      <x:c r="H6" s="17" t="n">
        <x:f>STDEV.S('Paired Seeds'!R14:R16)</x:f>
        <x:v>1.3597399555105182e-16</x:v>
      </x:c>
      <x:c r="I6" s="17" t="n">
        <x:f>AVERAGE('Paired Seeds'!AO14:AO16)</x:f>
        <x:v>0</x:v>
      </x:c>
      <x:c r="J6" s="17" t="n">
        <x:f>STDEV.S('Paired Seeds'!AO14:AO16)</x:f>
        <x:v>0</x:v>
      </x:c>
      <x:c r="K6" t="n">
        <x:f>SUM('Paired Seeds'!AR14:AR16)</x:f>
        <x:v>0</x:v>
      </x:c>
      <x:c r="L6" s="17" t="n">
        <x:f>AVERAGE('Paired Seeds'!AA14:AA16)</x:f>
        <x:v>1</x:v>
      </x:c>
      <x:c r="M6" s="17" t="n">
        <x:f>STDEV.S('Paired Seeds'!AA14:AA16)</x:f>
        <x:v>0</x:v>
      </x:c>
      <x:c r="N6" s="17" t="n">
        <x:f>AVERAGE('Paired Seeds'!AB14:AB16)</x:f>
        <x:v>1</x:v>
      </x:c>
      <x:c r="O6" s="17" t="n">
        <x:f>STDEV.S('Paired Seeds'!AB14:AB16)</x:f>
        <x:v>0</x:v>
      </x:c>
      <x:c r="P6" s="17" t="n">
        <x:f>AVERAGE('Paired Seeds'!AP14:AP16)</x:f>
        <x:v>0</x:v>
      </x:c>
      <x:c r="Q6" s="17" t="n">
        <x:f>STDEV.S('Paired Seeds'!AP14:AP16)</x:f>
        <x:v>0</x:v>
      </x:c>
      <x:c r="R6" t="n">
        <x:f>SUM('Paired Seeds'!AS14:AS16)</x:f>
        <x:v>0</x:v>
      </x:c>
      <x:c r="S6" s="17" t="n">
        <x:f>AVERAGE('Paired Seeds'!AC14:AC16)</x:f>
        <x:v>1</x:v>
      </x:c>
      <x:c r="T6" s="17" t="n">
        <x:f>STDEV.S('Paired Seeds'!AC14:AC16)</x:f>
        <x:v>0</x:v>
      </x:c>
      <x:c r="U6" s="17" t="n">
        <x:f>AVERAGE('Paired Seeds'!AD14:AD16)</x:f>
        <x:v>1</x:v>
      </x:c>
      <x:c r="V6" s="17" t="n">
        <x:f>STDEV.S('Paired Seeds'!AD14:AD16)</x:f>
        <x:v>0</x:v>
      </x:c>
      <x:c r="W6" s="17" t="n">
        <x:f>AVERAGE('Paired Seeds'!AQ14:AQ16)</x:f>
        <x:v>0</x:v>
      </x:c>
      <x:c r="X6" s="17" t="n">
        <x:f>STDEV.S('Paired Seeds'!AQ14:AQ16)</x:f>
        <x:v>0</x:v>
      </x:c>
      <x:c r="Y6" t="n">
        <x:f>SUM('Paired Seeds'!AT14:AT16)</x:f>
        <x:v>0</x:v>
      </x:c>
      <x:c r="Z6" t="n">
        <x:f>SUM('Paired Seeds'!AM14:AM16)</x:f>
        <x:v>0</x:v>
      </x:c>
      <x:c r="AA6" t="n">
        <x:f>SUM('Paired Seeds'!AN14:AN16)</x:f>
        <x:v>0</x:v>
      </x:c>
      <x:c r="AB6" t="n">
        <x:f>SUM('Paired Seeds'!AM14:AM16)-SUM('Paired Seeds'!AN14:AN16)</x:f>
        <x:v>0</x:v>
      </x:c>
    </x:row>
    <x:row r="7">
      <x:c r="A7" t="str">
        <x:v>sin_K3_C5</x:v>
      </x:c>
      <x:c r="B7" t="n">
        <x:f>COUNT('Paired Seeds'!B17:B19)</x:f>
        <x:v>3</x:v>
      </x:c>
      <x:c r="C7" s="17" t="n">
        <x:f>AVERAGE('Paired Seeds'!K17:K19)</x:f>
        <x:v>0.9916666666666667</x:v>
      </x:c>
      <x:c r="D7" s="17" t="n">
        <x:f>STDEV.S('Paired Seeds'!K17:K19)</x:f>
        <x:v>0</x:v>
      </x:c>
      <x:c r="E7" s="17" t="n">
        <x:f>AVERAGE('Paired Seeds'!Q17:Q19)</x:f>
        <x:v>0.9249999999999999</x:v>
      </x:c>
      <x:c r="F7" s="17" t="n">
        <x:f>STDEV.S('Paired Seeds'!Q17:Q19)</x:f>
        <x:v>0.12990381056766578</x:v>
      </x:c>
      <x:c r="G7" s="17" t="n">
        <x:f>AVERAGE('Paired Seeds'!R17:R19)</x:f>
        <x:v>0.9444444444444445</x:v>
      </x:c>
      <x:c r="H7" s="17" t="n">
        <x:f>STDEV.S('Paired Seeds'!R17:R19)</x:f>
        <x:v>0.0962250448649376</x:v>
      </x:c>
      <x:c r="I7" s="17" t="n">
        <x:f>AVERAGE('Paired Seeds'!AO17:AO19)</x:f>
        <x:v>0.019444444444444448</x:v>
      </x:c>
      <x:c r="J7" s="17" t="n">
        <x:f>STDEV.S('Paired Seeds'!AO17:AO19)</x:f>
        <x:v>0.03367876570272818</x:v>
      </x:c>
      <x:c r="K7" t="n">
        <x:f>SUM('Paired Seeds'!AR17:AR19)</x:f>
        <x:v>1</x:v>
      </x:c>
      <x:c r="L7" s="17" t="n">
        <x:f>AVERAGE('Paired Seeds'!AA17:AA19)</x:f>
        <x:v>0.9194444444444444</x:v>
      </x:c>
      <x:c r="M7" s="17" t="n">
        <x:f>STDEV.S('Paired Seeds'!AA17:AA19)</x:f>
        <x:v>0.1250925583244189</x:v>
      </x:c>
      <x:c r="N7" s="17" t="n">
        <x:f>AVERAGE('Paired Seeds'!AB17:AB19)</x:f>
        <x:v>0.9333333333333332</x:v>
      </x:c>
      <x:c r="O7" s="17" t="n">
        <x:f>STDEV.S('Paired Seeds'!AB17:AB19)</x:f>
        <x:v>0.10103629710818453</x:v>
      </x:c>
      <x:c r="P7" s="17" t="n">
        <x:f>AVERAGE('Paired Seeds'!AP17:AP19)</x:f>
        <x:v>0.013888888888888876</x:v>
      </x:c>
      <x:c r="Q7" s="17" t="n">
        <x:f>STDEV.S('Paired Seeds'!AP17:AP19)</x:f>
        <x:v>0.024056261216234387</x:v>
      </x:c>
      <x:c r="R7" t="n">
        <x:f>SUM('Paired Seeds'!AS17:AS19)</x:f>
        <x:v>1</x:v>
      </x:c>
      <x:c r="S7" s="17" t="n">
        <x:f>AVERAGE('Paired Seeds'!AC17:AC19)</x:f>
        <x:v>0.9249999999999999</x:v>
      </x:c>
      <x:c r="T7" s="17" t="n">
        <x:f>STDEV.S('Paired Seeds'!AC17:AC19)</x:f>
        <x:v>0.11547005383792519</x:v>
      </x:c>
      <x:c r="U7" s="17" t="n">
        <x:f>AVERAGE('Paired Seeds'!AD17:AD19)</x:f>
        <x:v>0.9333333333333332</x:v>
      </x:c>
      <x:c r="V7" s="17" t="n">
        <x:f>STDEV.S('Paired Seeds'!AD17:AD19)</x:f>
        <x:v>0.10103629710818453</x:v>
      </x:c>
      <x:c r="W7" s="17" t="n">
        <x:f>AVERAGE('Paired Seeds'!AQ17:AQ19)</x:f>
        <x:v>0.00833333333333334</x:v>
      </x:c>
      <x:c r="X7" s="17" t="n">
        <x:f>STDEV.S('Paired Seeds'!AQ17:AQ19)</x:f>
        <x:v>0.01443375672974066</x:v>
      </x:c>
      <x:c r="Y7" t="n">
        <x:f>SUM('Paired Seeds'!AT17:AT19)</x:f>
        <x:v>1</x:v>
      </x:c>
      <x:c r="Z7" t="n">
        <x:f>SUM('Paired Seeds'!AM17:AM19)</x:f>
        <x:v>1</x:v>
      </x:c>
      <x:c r="AA7" t="n">
        <x:f>SUM('Paired Seeds'!AN17:AN19)</x:f>
        <x:v>1</x:v>
      </x:c>
      <x:c r="AB7" t="n">
        <x:f>SUM('Paired Seeds'!AM17:AM19)-SUM('Paired Seeds'!AN17:AN19)</x:f>
        <x:v>0</x:v>
      </x:c>
    </x:row>
    <x:row r="8">
      <x:c r="A8" t="str">
        <x:v>sin_K4_C5</x:v>
      </x:c>
      <x:c r="B8" t="n">
        <x:f>COUNT('Paired Seeds'!B20:B22)</x:f>
        <x:v>3</x:v>
      </x:c>
      <x:c r="C8" s="17" t="n">
        <x:f>AVERAGE('Paired Seeds'!K20:K22)</x:f>
        <x:v>0.9375</x:v>
      </x:c>
      <x:c r="D8" s="17" t="n">
        <x:f>STDEV.S('Paired Seeds'!K20:K22)</x:f>
        <x:v>0.043301270189221974</x:v>
      </x:c>
      <x:c r="E8" s="17" t="n">
        <x:f>AVERAGE('Paired Seeds'!Q20:Q22)</x:f>
        <x:v>0.8250000000000001</x:v>
      </x:c>
      <x:c r="F8" s="17" t="n">
        <x:f>STDEV.S('Paired Seeds'!Q20:Q22)</x:f>
        <x:v>0.03307189138830739</x:v>
      </x:c>
      <x:c r="G8" s="17" t="n">
        <x:f>AVERAGE('Paired Seeds'!R20:R22)</x:f>
        <x:v>0.9020833333333332</x:v>
      </x:c>
      <x:c r="H8" s="17" t="n">
        <x:f>STDEV.S('Paired Seeds'!R20:R22)</x:f>
        <x:v>0.07456470903405536</x:v>
      </x:c>
      <x:c r="I8" s="17" t="n">
        <x:f>AVERAGE('Paired Seeds'!AO20:AO22)</x:f>
        <x:v>0.07708333333333332</x:v>
      </x:c>
      <x:c r="J8" s="17" t="n">
        <x:f>STDEV.S('Paired Seeds'!AO20:AO22)</x:f>
        <x:v>0.06260408000548634</x:v>
      </x:c>
      <x:c r="K8" t="n">
        <x:f>SUM('Paired Seeds'!AR20:AR22)</x:f>
        <x:v>3</x:v>
      </x:c>
      <x:c r="L8" s="17" t="n">
        <x:f>AVERAGE('Paired Seeds'!AA20:AA22)</x:f>
        <x:v>0.7979166666666666</x:v>
      </x:c>
      <x:c r="M8" s="17" t="n">
        <x:f>STDEV.S('Paired Seeds'!AA20:AA22)</x:f>
        <x:v>0.0314576434802948</x:v>
      </x:c>
      <x:c r="N8" s="17" t="n">
        <x:f>AVERAGE('Paired Seeds'!AB20:AB22)</x:f>
        <x:v>0.8875000000000001</x:v>
      </x:c>
      <x:c r="O8" s="17" t="n">
        <x:f>STDEV.S('Paired Seeds'!AB20:AB22)</x:f>
        <x:v>0.07207851621669245</x:v>
      </x:c>
      <x:c r="P8" s="17" t="n">
        <x:f>AVERAGE('Paired Seeds'!AP20:AP22)</x:f>
        <x:v>0.0895833333333333</x:v>
      </x:c>
      <x:c r="Q8" s="17" t="n">
        <x:f>STDEV.S('Paired Seeds'!AP20:AP22)</x:f>
        <x:v>0.04521361336293897</x:v>
      </x:c>
      <x:c r="R8" t="n">
        <x:f>SUM('Paired Seeds'!AS20:AS22)</x:f>
        <x:v>3</x:v>
      </x:c>
      <x:c r="S8" s="17" t="n">
        <x:f>AVERAGE('Paired Seeds'!AC20:AC22)</x:f>
        <x:v>0.7979166666666666</x:v>
      </x:c>
      <x:c r="T8" s="17" t="n">
        <x:f>STDEV.S('Paired Seeds'!AC20:AC22)</x:f>
        <x:v>0.025259074277046097</x:v>
      </x:c>
      <x:c r="U8" s="17" t="n">
        <x:f>AVERAGE('Paired Seeds'!AD20:AD22)</x:f>
        <x:v>0.8937500000000002</x:v>
      </x:c>
      <x:c r="V8" s="17" t="n">
        <x:f>STDEV.S('Paired Seeds'!AD20:AD22)</x:f>
        <x:v>0.07098635432250341</x:v>
      </x:c>
      <x:c r="W8" s="17" t="n">
        <x:f>AVERAGE('Paired Seeds'!AQ20:AQ22)</x:f>
        <x:v>0.09583333333333337</x:v>
      </x:c>
      <x:c r="X8" s="17" t="n">
        <x:f>STDEV.S('Paired Seeds'!AQ20:AQ22)</x:f>
        <x:v>0.050903298845294286</x:v>
      </x:c>
      <x:c r="Y8" t="n">
        <x:f>SUM('Paired Seeds'!AT20:AT22)</x:f>
        <x:v>3</x:v>
      </x:c>
      <x:c r="Z8" t="n">
        <x:f>SUM('Paired Seeds'!AM20:AM22)</x:f>
        <x:v>3</x:v>
      </x:c>
      <x:c r="AA8" t="n">
        <x:f>SUM('Paired Seeds'!AN20:AN22)</x:f>
        <x:v>1</x:v>
      </x:c>
      <x:c r="AB8" t="n">
        <x:f>SUM('Paired Seeds'!AM20:AM22)-SUM('Paired Seeds'!AN20:AN22)</x:f>
        <x:v>2</x:v>
      </x:c>
    </x:row>
    <x:row r="9">
      <x:c r="A9" t="str">
        <x:v>sin_K5_C5</x:v>
      </x:c>
      <x:c r="B9" t="n">
        <x:f>COUNT('Paired Seeds'!B23:B25)</x:f>
        <x:v>3</x:v>
      </x:c>
      <x:c r="C9" s="17" t="n">
        <x:f>AVERAGE('Paired Seeds'!K23:K25)</x:f>
        <x:v>0.7783333333333333</x:v>
      </x:c>
      <x:c r="D9" s="17" t="n">
        <x:f>STDEV.S('Paired Seeds'!K23:K25)</x:f>
        <x:v>0.0028867513459481316</x:v>
      </x:c>
      <x:c r="E9" s="17" t="n">
        <x:f>AVERAGE('Paired Seeds'!Q23:Q25)</x:f>
        <x:v>0.9633333333333334</x:v>
      </x:c>
      <x:c r="F9" s="17" t="n">
        <x:f>STDEV.S('Paired Seeds'!Q23:Q25)</x:f>
        <x:v>0.010408329997330672</x:v>
      </x:c>
      <x:c r="G9" s="17" t="n">
        <x:f>AVERAGE('Paired Seeds'!R23:R25)</x:f>
        <x:v>0.965</x:v>
      </x:c>
      <x:c r="H9" s="17" t="n">
        <x:f>STDEV.S('Paired Seeds'!R23:R25)</x:f>
        <x:v>0.0050000000000000044</x:v>
      </x:c>
      <x:c r="I9" s="17" t="n">
        <x:f>AVERAGE('Paired Seeds'!AO23:AO25)</x:f>
        <x:v>0.001666666666666668</x:v>
      </x:c>
      <x:c r="J9" s="17" t="n">
        <x:f>STDEV.S('Paired Seeds'!AO23:AO25)</x:f>
        <x:v>0.010408329997330674</x:v>
      </x:c>
      <x:c r="K9" t="n">
        <x:f>SUM('Paired Seeds'!AR23:AR25)</x:f>
        <x:v>2</x:v>
      </x:c>
      <x:c r="L9" s="17" t="n">
        <x:f>AVERAGE('Paired Seeds'!AA23:AA25)</x:f>
        <x:v>0.9883333333333333</x:v>
      </x:c>
      <x:c r="M9" s="17" t="n">
        <x:f>STDEV.S('Paired Seeds'!AA23:AA25)</x:f>
        <x:v>0.005773502691896262</x:v>
      </x:c>
      <x:c r="N9" s="17" t="n">
        <x:f>AVERAGE('Paired Seeds'!AB23:AB25)</x:f>
        <x:v>0.9916666666666666</x:v>
      </x:c>
      <x:c r="O9" s="17" t="n">
        <x:f>STDEV.S('Paired Seeds'!AB23:AB25)</x:f>
        <x:v>0.0028867513459481316</x:v>
      </x:c>
      <x:c r="P9" s="17" t="n">
        <x:f>AVERAGE('Paired Seeds'!AP23:AP25)</x:f>
        <x:v>0.003333333333333336</x:v>
      </x:c>
      <x:c r="Q9" s="17" t="n">
        <x:f>STDEV.S('Paired Seeds'!AP23:AP25)</x:f>
        <x:v>0.002886751345948131</x:v>
      </x:c>
      <x:c r="R9" t="n">
        <x:f>SUM('Paired Seeds'!AS23:AS25)</x:f>
        <x:v>2</x:v>
      </x:c>
      <x:c r="S9" s="17" t="n">
        <x:f>AVERAGE('Paired Seeds'!AC23:AC25)</x:f>
        <x:v>0.9883333333333333</x:v>
      </x:c>
      <x:c r="T9" s="17" t="n">
        <x:f>STDEV.S('Paired Seeds'!AC23:AC25)</x:f>
        <x:v>0.005773502691896262</x:v>
      </x:c>
      <x:c r="U9" s="17" t="n">
        <x:f>AVERAGE('Paired Seeds'!AD23:AD25)</x:f>
        <x:v>0.9866666666666667</x:v>
      </x:c>
      <x:c r="V9" s="17" t="n">
        <x:f>STDEV.S('Paired Seeds'!AD23:AD25)</x:f>
        <x:v>0.0028867513459481316</x:v>
      </x:c>
      <x:c r="W9" s="17" t="n">
        <x:f>AVERAGE('Paired Seeds'!AQ23:AQ25)</x:f>
        <x:v>-0.001666666666666668</x:v>
      </x:c>
      <x:c r="X9" s="17" t="n">
        <x:f>STDEV.S('Paired Seeds'!AQ23:AQ25)</x:f>
        <x:v>0.0028867513459481316</x:v>
      </x:c>
      <x:c r="Y9" t="n">
        <x:f>SUM('Paired Seeds'!AT23:AT25)</x:f>
        <x:v>0</x:v>
      </x:c>
      <x:c r="Z9" t="n">
        <x:f>SUM('Paired Seeds'!AM23:AM25)</x:f>
        <x:v>0</x:v>
      </x:c>
      <x:c r="AA9" t="n">
        <x:f>SUM('Paired Seeds'!AN23:AN25)</x:f>
        <x:v>0</x:v>
      </x:c>
      <x:c r="AB9" t="n">
        <x:f>SUM('Paired Seeds'!AM23:AM25)-SUM('Paired Seeds'!AN23:AN25)</x:f>
        <x:v>0</x:v>
      </x:c>
    </x:row>
    <x:row r="10">
      <x:c r="A10" t="str">
        <x:v>trunc_K2_C5</x:v>
      </x:c>
      <x:c r="B10" t="n">
        <x:f>COUNT('Paired Seeds'!B26:B28)</x:f>
        <x:v>3</x:v>
      </x:c>
      <x:c r="C10" s="17" t="n">
        <x:f>AVERAGE('Paired Seeds'!K26:K28)</x:f>
        <x:v>0.6833333333333332</x:v>
      </x:c>
      <x:c r="D10" s="17" t="n">
        <x:f>STDEV.S('Paired Seeds'!K26:K28)</x:f>
        <x:v>0.2742413778650722</x:v>
      </x:c>
      <x:c r="E10" s="17" t="n">
        <x:f>AVERAGE('Paired Seeds'!Q26:Q28)</x:f>
        <x:v>1</x:v>
      </x:c>
      <x:c r="F10" s="17" t="n">
        <x:f>STDEV.S('Paired Seeds'!Q26:Q28)</x:f>
        <x:v>0</x:v>
      </x:c>
      <x:c r="G10" s="17" t="n">
        <x:f>AVERAGE('Paired Seeds'!R26:R28)</x:f>
        <x:v>1</x:v>
      </x:c>
      <x:c r="H10" s="17" t="n">
        <x:f>STDEV.S('Paired Seeds'!R26:R28)</x:f>
        <x:v>0</x:v>
      </x:c>
      <x:c r="I10" s="17" t="n">
        <x:f>AVERAGE('Paired Seeds'!AO26:AO28)</x:f>
        <x:v>0</x:v>
      </x:c>
      <x:c r="J10" s="17" t="n">
        <x:f>STDEV.S('Paired Seeds'!AO26:AO28)</x:f>
        <x:v>0</x:v>
      </x:c>
      <x:c r="K10" t="n">
        <x:f>SUM('Paired Seeds'!AR26:AR28)</x:f>
        <x:v>0</x:v>
      </x:c>
      <x:c r="L10" s="17" t="n">
        <x:f>AVERAGE('Paired Seeds'!AA26:AA28)</x:f>
        <x:v>1</x:v>
      </x:c>
      <x:c r="M10" s="17" t="n">
        <x:f>STDEV.S('Paired Seeds'!AA26:AA28)</x:f>
        <x:v>0</x:v>
      </x:c>
      <x:c r="N10" s="17" t="n">
        <x:f>AVERAGE('Paired Seeds'!AB26:AB28)</x:f>
        <x:v>1</x:v>
      </x:c>
      <x:c r="O10" s="17" t="n">
        <x:f>STDEV.S('Paired Seeds'!AB26:AB28)</x:f>
        <x:v>0</x:v>
      </x:c>
      <x:c r="P10" s="17" t="n">
        <x:f>AVERAGE('Paired Seeds'!AP26:AP28)</x:f>
        <x:v>0</x:v>
      </x:c>
      <x:c r="Q10" s="17" t="n">
        <x:f>STDEV.S('Paired Seeds'!AP26:AP28)</x:f>
        <x:v>0</x:v>
      </x:c>
      <x:c r="R10" t="n">
        <x:f>SUM('Paired Seeds'!AS26:AS28)</x:f>
        <x:v>0</x:v>
      </x:c>
      <x:c r="S10" s="17" t="n">
        <x:f>AVERAGE('Paired Seeds'!AC26:AC28)</x:f>
        <x:v>1</x:v>
      </x:c>
      <x:c r="T10" s="17" t="n">
        <x:f>STDEV.S('Paired Seeds'!AC26:AC28)</x:f>
        <x:v>0</x:v>
      </x:c>
      <x:c r="U10" s="17" t="n">
        <x:f>AVERAGE('Paired Seeds'!AD26:AD28)</x:f>
        <x:v>1</x:v>
      </x:c>
      <x:c r="V10" s="17" t="n">
        <x:f>STDEV.S('Paired Seeds'!AD26:AD28)</x:f>
        <x:v>0</x:v>
      </x:c>
      <x:c r="W10" s="17" t="n">
        <x:f>AVERAGE('Paired Seeds'!AQ26:AQ28)</x:f>
        <x:v>0</x:v>
      </x:c>
      <x:c r="X10" s="17" t="n">
        <x:f>STDEV.S('Paired Seeds'!AQ26:AQ28)</x:f>
        <x:v>0</x:v>
      </x:c>
      <x:c r="Y10" t="n">
        <x:f>SUM('Paired Seeds'!AT26:AT28)</x:f>
        <x:v>0</x:v>
      </x:c>
      <x:c r="Z10" t="n">
        <x:f>SUM('Paired Seeds'!AM26:AM28)</x:f>
        <x:v>0</x:v>
      </x:c>
      <x:c r="AA10" t="n">
        <x:f>SUM('Paired Seeds'!AN26:AN28)</x:f>
        <x:v>0</x:v>
      </x:c>
      <x:c r="AB10" t="n">
        <x:f>SUM('Paired Seeds'!AM26:AM28)-SUM('Paired Seeds'!AN26:AN28)</x:f>
        <x:v>0</x:v>
      </x:c>
    </x:row>
    <x:row r="11">
      <x:c r="A11" t="str">
        <x:v>trunc_K3_C5</x:v>
      </x:c>
      <x:c r="B11" t="n">
        <x:f>COUNT('Paired Seeds'!B29:B31)</x:f>
        <x:v>3</x:v>
      </x:c>
      <x:c r="C11" s="17" t="n">
        <x:f>AVERAGE('Paired Seeds'!K29:K31)</x:f>
        <x:v>0.8833333333333333</x:v>
      </x:c>
      <x:c r="D11" s="17" t="n">
        <x:f>STDEV.S('Paired Seeds'!K29:K31)</x:f>
        <x:v>0.1660404903764273</x:v>
      </x:c>
      <x:c r="E11" s="17" t="n">
        <x:f>AVERAGE('Paired Seeds'!Q29:Q31)</x:f>
        <x:v>0.9583333333333334</x:v>
      </x:c>
      <x:c r="F11" s="17" t="n">
        <x:f>STDEV.S('Paired Seeds'!Q29:Q31)</x:f>
        <x:v>0</x:v>
      </x:c>
      <x:c r="G11" s="17" t="n">
        <x:f>AVERAGE('Paired Seeds'!R29:R31)</x:f>
        <x:v>0.9611111111111111</x:v>
      </x:c>
      <x:c r="H11" s="17" t="n">
        <x:f>STDEV.S('Paired Seeds'!R29:R31)</x:f>
        <x:v>0.004811252243246865</x:v>
      </x:c>
      <x:c r="I11" s="17" t="n">
        <x:f>AVERAGE('Paired Seeds'!AO29:AO31)</x:f>
        <x:v>0.002777777777777768</x:v>
      </x:c>
      <x:c r="J11" s="17" t="n">
        <x:f>STDEV.S('Paired Seeds'!AO29:AO31)</x:f>
        <x:v>0.004811252243246865</x:v>
      </x:c>
      <x:c r="K11" t="n">
        <x:f>SUM('Paired Seeds'!AR29:AR31)</x:f>
        <x:v>1</x:v>
      </x:c>
      <x:c r="L11" s="17" t="n">
        <x:f>AVERAGE('Paired Seeds'!AA29:AA31)</x:f>
        <x:v>0.9805555555555555</x:v>
      </x:c>
      <x:c r="M11" s="17" t="n">
        <x:f>STDEV.S('Paired Seeds'!AA29:AA31)</x:f>
        <x:v>0.004811252243246865</x:v>
      </x:c>
      <x:c r="N11" s="17" t="n">
        <x:f>AVERAGE('Paired Seeds'!AB29:AB31)</x:f>
        <x:v>0.9833333333333333</x:v>
      </x:c>
      <x:c r="O11" s="17" t="n">
        <x:f>STDEV.S('Paired Seeds'!AB29:AB31)</x:f>
        <x:v>0</x:v>
      </x:c>
      <x:c r="P11" s="17" t="n">
        <x:f>AVERAGE('Paired Seeds'!AP29:AP31)</x:f>
        <x:v>0.002777777777777768</x:v>
      </x:c>
      <x:c r="Q11" s="17" t="n">
        <x:f>STDEV.S('Paired Seeds'!AP29:AP31)</x:f>
        <x:v>0.004811252243246865</x:v>
      </x:c>
      <x:c r="R11" t="n">
        <x:f>SUM('Paired Seeds'!AS29:AS31)</x:f>
        <x:v>1</x:v>
      </x:c>
      <x:c r="S11" s="17" t="n">
        <x:f>AVERAGE('Paired Seeds'!AC29:AC31)</x:f>
        <x:v>0.9805555555555555</x:v>
      </x:c>
      <x:c r="T11" s="17" t="n">
        <x:f>STDEV.S('Paired Seeds'!AC29:AC31)</x:f>
        <x:v>0.004811252243246865</x:v>
      </x:c>
      <x:c r="U11" s="17" t="n">
        <x:f>AVERAGE('Paired Seeds'!AD29:AD31)</x:f>
        <x:v>0.9833333333333333</x:v>
      </x:c>
      <x:c r="V11" s="17" t="n">
        <x:f>STDEV.S('Paired Seeds'!AD29:AD31)</x:f>
        <x:v>0</x:v>
      </x:c>
      <x:c r="W11" s="17" t="n">
        <x:f>AVERAGE('Paired Seeds'!AQ29:AQ31)</x:f>
        <x:v>0.002777777777777768</x:v>
      </x:c>
      <x:c r="X11" s="17" t="n">
        <x:f>STDEV.S('Paired Seeds'!AQ29:AQ31)</x:f>
        <x:v>0.004811252243246865</x:v>
      </x:c>
      <x:c r="Y11" t="n">
        <x:f>SUM('Paired Seeds'!AT29:AT31)</x:f>
        <x:v>1</x:v>
      </x:c>
      <x:c r="Z11" t="n">
        <x:f>SUM('Paired Seeds'!AM29:AM31)</x:f>
        <x:v>0</x:v>
      </x:c>
      <x:c r="AA11" t="n">
        <x:f>SUM('Paired Seeds'!AN29:AN31)</x:f>
        <x:v>0</x:v>
      </x:c>
      <x:c r="AB11" t="n">
        <x:f>SUM('Paired Seeds'!AM29:AM31)-SUM('Paired Seeds'!AN29:AN31)</x:f>
        <x:v>0</x:v>
      </x:c>
    </x:row>
    <x:row r="12">
      <x:c r="A12" t="str">
        <x:v>trunc_K4_C5</x:v>
      </x:c>
      <x:c r="B12" t="n">
        <x:f>COUNT('Paired Seeds'!B32:B34)</x:f>
        <x:v>3</x:v>
      </x:c>
      <x:c r="C12" s="17" t="n">
        <x:f>AVERAGE('Paired Seeds'!K32:K34)</x:f>
        <x:v>0.6979166666666666</x:v>
      </x:c>
      <x:c r="D12" s="17" t="n">
        <x:f>STDEV.S('Paired Seeds'!K32:K34)</x:f>
        <x:v>0.14433756729740646</x:v>
      </x:c>
      <x:c r="E12" s="17" t="n">
        <x:f>AVERAGE('Paired Seeds'!Q32:Q34)</x:f>
        <x:v>0.9833333333333334</x:v>
      </x:c>
      <x:c r="F12" s="17" t="n">
        <x:f>STDEV.S('Paired Seeds'!Q32:Q34)</x:f>
        <x:v>0.0036084391824352125</x:v>
      </x:c>
      <x:c r="G12" s="17" t="n">
        <x:f>AVERAGE('Paired Seeds'!R32:R34)</x:f>
        <x:v>0.9833333333333334</x:v>
      </x:c>
      <x:c r="H12" s="17" t="n">
        <x:f>STDEV.S('Paired Seeds'!R32:R34)</x:f>
        <x:v>0.0036084391824352125</x:v>
      </x:c>
      <x:c r="I12" s="17" t="n">
        <x:f>AVERAGE('Paired Seeds'!AO32:AO34)</x:f>
        <x:v>0</x:v>
      </x:c>
      <x:c r="J12" s="17" t="n">
        <x:f>STDEV.S('Paired Seeds'!AO32:AO34)</x:f>
        <x:v>0</x:v>
      </x:c>
      <x:c r="K12" t="n">
        <x:f>SUM('Paired Seeds'!AR32:AR34)</x:f>
        <x:v>0</x:v>
      </x:c>
      <x:c r="L12" s="17" t="n">
        <x:f>AVERAGE('Paired Seeds'!AA32:AA34)</x:f>
        <x:v>0.9895833333333334</x:v>
      </x:c>
      <x:c r="M12" s="17" t="n">
        <x:f>STDEV.S('Paired Seeds'!AA32:AA34)</x:f>
        <x:v>0.0036084391824351483</x:v>
      </x:c>
      <x:c r="N12" s="17" t="n">
        <x:f>AVERAGE('Paired Seeds'!AB32:AB34)</x:f>
        <x:v>0.9875000000000002</x:v>
      </x:c>
      <x:c r="O12" s="17" t="n">
        <x:f>STDEV.S('Paired Seeds'!AB32:AB34)</x:f>
        <x:v>0.006250000000000033</x:v>
      </x:c>
      <x:c r="P12" s="17" t="n">
        <x:f>AVERAGE('Paired Seeds'!AP32:AP34)</x:f>
        <x:v>-0.002083333333333363</x:v>
      </x:c>
      <x:c r="Q12" s="17" t="n">
        <x:f>STDEV.S('Paired Seeds'!AP32:AP34)</x:f>
        <x:v>0.0036084391824352125</x:v>
      </x:c>
      <x:c r="R12" t="n">
        <x:f>SUM('Paired Seeds'!AS32:AS34)</x:f>
        <x:v>0</x:v>
      </x:c>
      <x:c r="S12" s="17" t="n">
        <x:f>AVERAGE('Paired Seeds'!AC32:AC34)</x:f>
        <x:v>0.9895833333333334</x:v>
      </x:c>
      <x:c r="T12" s="17" t="n">
        <x:f>STDEV.S('Paired Seeds'!AC32:AC34)</x:f>
        <x:v>0.0036084391824351483</x:v>
      </x:c>
      <x:c r="U12" s="17" t="n">
        <x:f>AVERAGE('Paired Seeds'!AD32:AD34)</x:f>
        <x:v>0.9895833333333334</x:v>
      </x:c>
      <x:c r="V12" s="17" t="n">
        <x:f>STDEV.S('Paired Seeds'!AD32:AD34)</x:f>
        <x:v>0.0036084391824351483</x:v>
      </x:c>
      <x:c r="W12" s="17" t="n">
        <x:f>AVERAGE('Paired Seeds'!AQ32:AQ34)</x:f>
        <x:v>0</x:v>
      </x:c>
      <x:c r="X12" s="17" t="n">
        <x:f>STDEV.S('Paired Seeds'!AQ32:AQ34)</x:f>
        <x:v>0</x:v>
      </x:c>
      <x:c r="Y12" t="n">
        <x:f>SUM('Paired Seeds'!AT32:AT34)</x:f>
        <x:v>0</x:v>
      </x:c>
      <x:c r="Z12" t="n">
        <x:f>SUM('Paired Seeds'!AM32:AM34)</x:f>
        <x:v>0</x:v>
      </x:c>
      <x:c r="AA12" t="n">
        <x:f>SUM('Paired Seeds'!AN32:AN34)</x:f>
        <x:v>0</x:v>
      </x:c>
      <x:c r="AB12" t="n">
        <x:f>SUM('Paired Seeds'!AM32:AM34)-SUM('Paired Seeds'!AN32:AN34)</x:f>
        <x:v>0</x:v>
      </x:c>
    </x:row>
    <x:row r="13">
      <x:c r="A13" t="str">
        <x:v>trunc_K5_C5</x:v>
      </x:c>
      <x:c r="B13" t="n">
        <x:f>COUNT('Paired Seeds'!B35:B37)</x:f>
        <x:v>3</x:v>
      </x:c>
      <x:c r="C13" s="17" t="n">
        <x:f>AVERAGE('Paired Seeds'!K35:K37)</x:f>
        <x:v>0.8433333333333333</x:v>
      </x:c>
      <x:c r="D13" s="17" t="n">
        <x:f>STDEV.S('Paired Seeds'!K35:K37)</x:f>
        <x:v>0.2194500702513748</x:v>
      </x:c>
      <x:c r="E13" s="17" t="n">
        <x:f>AVERAGE('Paired Seeds'!Q35:Q37)</x:f>
        <x:v>0.9433333333333332</x:v>
      </x:c>
      <x:c r="F13" s="17" t="n">
        <x:f>STDEV.S('Paired Seeds'!Q35:Q37)</x:f>
        <x:v>0.0028867513459481316</x:v>
      </x:c>
      <x:c r="G13" s="17" t="n">
        <x:f>AVERAGE('Paired Seeds'!R35:R37)</x:f>
        <x:v>0.945</x:v>
      </x:c>
      <x:c r="H13" s="17" t="n">
        <x:f>STDEV.S('Paired Seeds'!R35:R37)</x:f>
        <x:v>0.0050000000000000044</x:v>
      </x:c>
      <x:c r="I13" s="17" t="n">
        <x:f>AVERAGE('Paired Seeds'!AO35:AO37)</x:f>
        <x:v>0.001666666666666668</x:v>
      </x:c>
      <x:c r="J13" s="17" t="n">
        <x:f>STDEV.S('Paired Seeds'!AO35:AO37)</x:f>
        <x:v>0.0028867513459481316</x:v>
      </x:c>
      <x:c r="K13" t="n">
        <x:f>SUM('Paired Seeds'!AR35:AR37)</x:f>
        <x:v>1</x:v>
      </x:c>
      <x:c r="L13" s="17" t="n">
        <x:f>AVERAGE('Paired Seeds'!AA35:AA37)</x:f>
        <x:v>0.9716666666666667</x:v>
      </x:c>
      <x:c r="M13" s="17" t="n">
        <x:f>STDEV.S('Paired Seeds'!AA35:AA37)</x:f>
        <x:v>0.0028867513459481316</x:v>
      </x:c>
      <x:c r="N13" s="17" t="n">
        <x:f>AVERAGE('Paired Seeds'!AB35:AB37)</x:f>
        <x:v>0.9716666666666667</x:v>
      </x:c>
      <x:c r="O13" s="17" t="n">
        <x:f>STDEV.S('Paired Seeds'!AB35:AB37)</x:f>
        <x:v>0.0028867513459481316</x:v>
      </x:c>
      <x:c r="P13" s="17" t="n">
        <x:f>AVERAGE('Paired Seeds'!AP35:AP37)</x:f>
        <x:v>0</x:v>
      </x:c>
      <x:c r="Q13" s="17" t="n">
        <x:f>STDEV.S('Paired Seeds'!AP35:AP37)</x:f>
        <x:v>0</x:v>
      </x:c>
      <x:c r="R13" t="n">
        <x:f>SUM('Paired Seeds'!AS35:AS37)</x:f>
        <x:v>0</x:v>
      </x:c>
      <x:c r="S13" s="17" t="n">
        <x:f>AVERAGE('Paired Seeds'!AC35:AC37)</x:f>
        <x:v>0.9716666666666667</x:v>
      </x:c>
      <x:c r="T13" s="17" t="n">
        <x:f>STDEV.S('Paired Seeds'!AC35:AC37)</x:f>
        <x:v>0.0028867513459481316</x:v>
      </x:c>
      <x:c r="U13" s="17" t="n">
        <x:f>AVERAGE('Paired Seeds'!AD35:AD37)</x:f>
        <x:v>0.9716666666666667</x:v>
      </x:c>
      <x:c r="V13" s="17" t="n">
        <x:f>STDEV.S('Paired Seeds'!AD35:AD37)</x:f>
        <x:v>0.0028867513459481316</x:v>
      </x:c>
      <x:c r="W13" s="17" t="n">
        <x:f>AVERAGE('Paired Seeds'!AQ35:AQ37)</x:f>
        <x:v>0</x:v>
      </x:c>
      <x:c r="X13" s="17" t="n">
        <x:f>STDEV.S('Paired Seeds'!AQ35:AQ37)</x:f>
        <x:v>0</x:v>
      </x:c>
      <x:c r="Y13" t="n">
        <x:f>SUM('Paired Seeds'!AT35:AT37)</x:f>
        <x:v>0</x:v>
      </x:c>
      <x:c r="Z13" t="n">
        <x:f>SUM('Paired Seeds'!AM35:AM37)</x:f>
        <x:v>0</x:v>
      </x:c>
      <x:c r="AA13" t="n">
        <x:f>SUM('Paired Seeds'!AN35:AN37)</x:f>
        <x:v>0</x:v>
      </x:c>
      <x:c r="AB13" t="n">
        <x:f>SUM('Paired Seeds'!AM35:AM37)-SUM('Paired Seeds'!AN35:AN37)</x:f>
        <x:v>0</x:v>
      </x:c>
    </x:row>
    <x:row r="14">
      <x:c r="A14" s="18" t="str">
        <x:v>ALL_12</x:v>
      </x:c>
      <x:c r="B14" s="18" t="n">
        <x:f>COUNT('Paired Seeds'!B2:B37)</x:f>
        <x:v>36</x:v>
      </x:c>
      <x:c r="C14" s="19" t="n">
        <x:f>AVERAGE('Paired Seeds'!K2:K37)</x:f>
        <x:v>0.8592361111111111</x:v>
      </x:c>
      <x:c r="D14" s="19" t="n">
        <x:f>STDEV.S('Paired Seeds'!K2:K37)</x:f>
        <x:v>0.16217909400334568</x:v>
      </x:c>
      <x:c r="E14" s="19" t="n">
        <x:f>AVERAGE('Paired Seeds'!Q2:Q37)</x:f>
        <x:v>0.9590972222222222</x:v>
      </x:c>
      <x:c r="F14" s="19" t="n">
        <x:f>STDEV.S('Paired Seeds'!Q2:Q37)</x:f>
        <x:v>0.06182801446768182</x:v>
      </x:c>
      <x:c r="G14" s="19" t="n">
        <x:f>AVERAGE('Paired Seeds'!R2:R37)</x:f>
        <x:v>0.9709837962962963</x:v>
      </x:c>
      <x:c r="H14" s="19" t="n">
        <x:f>STDEV.S('Paired Seeds'!R2:R37)</x:f>
        <x:v>0.04349456643424959</x:v>
      </x:c>
      <x:c r="I14" s="19" t="n">
        <x:f>AVERAGE('Paired Seeds'!AO2:AO37)</x:f>
        <x:v>0.011886574074074072</x:v>
      </x:c>
      <x:c r="J14" s="19" t="n">
        <x:f>STDEV.S('Paired Seeds'!AO2:AO37)</x:f>
        <x:v>0.030095002701615248</x:v>
      </x:c>
      <x:c r="K14" s="18" t="n">
        <x:f>SUM('Paired Seeds'!AR2:AR37)</x:f>
        <x:v>10</x:v>
      </x:c>
      <x:c r="L14" s="19" t="n">
        <x:f>AVERAGE('Paired Seeds'!AA2:AA37)</x:f>
        <x:v>0.9631250000000002</x:v>
      </x:c>
      <x:c r="M14" s="19" t="n">
        <x:f>STDEV.S('Paired Seeds'!AA2:AA37)</x:f>
        <x:v>0.07111090572266965</x:v>
      </x:c>
      <x:c r="N14" s="19" t="n">
        <x:f>AVERAGE('Paired Seeds'!AB2:AB37)</x:f>
        <x:v>0.975787037037037</x:v>
      </x:c>
      <x:c r="O14" s="19" t="n">
        <x:f>STDEV.S('Paired Seeds'!AB2:AB37)</x:f>
        <x:v>0.04651013050786792</x:v>
      </x:c>
      <x:c r="P14" s="19" t="n">
        <x:f>AVERAGE('Paired Seeds'!AP2:AP37)</x:f>
        <x:v>0.012662037037037027</x:v>
      </x:c>
      <x:c r="Q14" s="19" t="n">
        <x:f>STDEV.S('Paired Seeds'!AP2:AP37)</x:f>
        <x:v>0.032782695689712614</x:v>
      </x:c>
      <x:c r="R14" s="18" t="n">
        <x:f>SUM('Paired Seeds'!AS2:AS37)</x:f>
        <x:v>9</x:v>
      </x:c>
      <x:c r="S14" s="19" t="n">
        <x:f>AVERAGE('Paired Seeds'!AC2:AC37)</x:f>
        <x:v>0.9637268518518519</x:v>
      </x:c>
      <x:c r="T14" s="19" t="n">
        <x:f>STDEV.S('Paired Seeds'!AC2:AC37)</x:f>
        <x:v>0.0696975427452549</x:v>
      </x:c>
      <x:c r="U14" s="19" t="n">
        <x:f>AVERAGE('Paired Seeds'!AD2:AD37)</x:f>
        <x:v>0.9760648148148149</x:v>
      </x:c>
      <x:c r="V14" s="19" t="n">
        <x:f>STDEV.S('Paired Seeds'!AD2:AD37)</x:f>
        <x:v>0.04532701335108907</x:v>
      </x:c>
      <x:c r="W14" s="19" t="n">
        <x:f>AVERAGE('Paired Seeds'!AQ2:AQ37)</x:f>
        <x:v>0.012337962962962964</x:v>
      </x:c>
      <x:c r="X14" s="19" t="n">
        <x:f>STDEV.S('Paired Seeds'!AQ2:AQ37)</x:f>
        <x:v>0.034174545807204935</x:v>
      </x:c>
      <x:c r="Y14" s="18" t="n">
        <x:f>SUM('Paired Seeds'!AT2:AT37)</x:f>
        <x:v>7</x:v>
      </x:c>
      <x:c r="Z14" s="18" t="n">
        <x:f>SUM('Paired Seeds'!AM2:AM37)</x:f>
        <x:v>5</x:v>
      </x:c>
      <x:c r="AA14" s="18" t="n">
        <x:f>SUM('Paired Seeds'!AN2:AN37)</x:f>
        <x:v>2</x:v>
      </x:c>
      <x:c r="AB14" s="18" t="n">
        <x:f>SUM('Paired Seeds'!AM2:AM37)-SUM('Paired Seeds'!AN2:AN37)</x:f>
        <x:v>3</x:v>
      </x:c>
    </x:row>
  </x:sheetData>
  <x:conditionalFormatting sqref="I2:I14">
    <x:cfRule type="cellIs" dxfId="3" priority="1" operator="greaterThan">
      <x:formula>0</x:formula>
    </x:cfRule>
    <x:cfRule type="cellIs" dxfId="4" priority="2" operator="lessThan">
      <x:formula>0</x:formula>
    </x:cfRule>
  </x:conditionalFormatting>
  <x:conditionalFormatting sqref="P2:P14">
    <x:cfRule type="cellIs" dxfId="5" priority="3" operator="greaterThan">
      <x:formula>0</x:formula>
    </x:cfRule>
    <x:cfRule type="cellIs" dxfId="6" priority="4" operator="lessThan">
      <x:formula>0</x:formula>
    </x:cfRule>
  </x:conditionalFormatting>
  <x:conditionalFormatting sqref="W2:W14">
    <x:cfRule type="cellIs" dxfId="7" priority="5" operator="greaterThan">
      <x:formula>0</x:formula>
    </x:cfRule>
    <x:cfRule type="cellIs" dxfId="8" priority="6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7e086d417349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>
      <x:c r="A1" s="7" t="str">
        <x:v>Dataset</x:v>
      </x:c>
      <x:c r="B1" s="15" t="str">
        <x:v>n</x:v>
      </x:c>
      <x:c r="C1" s="15" t="str">
        <x:v>Pure NLL mean</x:v>
      </x:c>
      <x:c r="D1" s="15" t="str">
        <x:v>Pure NLL std</x:v>
      </x:c>
      <x:c r="E1" s="15" t="str">
        <x:v>a1 NLL mean</x:v>
      </x:c>
      <x:c r="F1" s="15" t="str">
        <x:v>a1 NLL std</x:v>
      </x:c>
      <x:c r="G1" s="15" t="str">
        <x:v>a81 NLL mean</x:v>
      </x:c>
      <x:c r="H1" s="15" t="str">
        <x:v>a81 NLL std</x:v>
      </x:c>
      <x:c r="I1" s="15" t="str">
        <x:v>Delta a81-a1 mean</x:v>
      </x:c>
      <x:c r="J1" s="15" t="str">
        <x:v>Delta a81-a1 std</x:v>
      </x:c>
      <x:c r="K1" s="15" t="str">
        <x:v>Wins vs a1</x:v>
      </x:c>
      <x:c r="L1" s="15" t="str">
        <x:v>Delta a81-Pure mean</x:v>
      </x:c>
      <x:c r="M1" s="15" t="str">
        <x:v>Delta a81-Pure std</x:v>
      </x:c>
      <x:c r="N1" s="15" t="str">
        <x:v>Wins vs Pure</x:v>
      </x:c>
      <x:c r="O1" s="15" t="str">
        <x:v>Val purity a1</x:v>
      </x:c>
      <x:c r="P1" s="15" t="str">
        <x:v>Val purity a81</x:v>
      </x:c>
      <x:c r="Q1" s="15" t="str">
        <x:v>Min weight a1</x:v>
      </x:c>
      <x:c r="R1" s="15" t="str">
        <x:v>Min weight a81</x:v>
      </x:c>
      <x:c r="S1" s="15" t="str">
        <x:v>Near collapse a1</x:v>
      </x:c>
      <x:c r="T1" s="15" t="str">
        <x:v>Near collapse a81</x:v>
      </x:c>
      <x:c r="U1" s="15" t="str">
        <x:v>Prevented</x:v>
      </x:c>
      <x:c r="V1" s="15" t="str">
        <x:v>Prior purity a1</x:v>
      </x:c>
      <x:c r="W1" s="15" t="str">
        <x:v>Prior purity a81</x:v>
      </x:c>
      <x:c r="X1" s="15" t="str">
        <x:v>Post purity a1</x:v>
      </x:c>
      <x:c r="Y1" s="15" t="str">
        <x:v>Post purity a81</x:v>
      </x:c>
      <x:c r="Z1" s="15" t="str">
        <x:v>Prior ARI a1</x:v>
      </x:c>
      <x:c r="AA1" s="15" t="str">
        <x:v>Prior ARI a81</x:v>
      </x:c>
      <x:c r="AB1" s="15" t="str">
        <x:v>Post ARI a1</x:v>
      </x:c>
      <x:c r="AC1" s="15" t="str">
        <x:v>Post ARI a81</x:v>
      </x:c>
      <x:c r="AD1" s="15" t="str">
        <x:v>Alpha a1</x:v>
      </x:c>
      <x:c r="AE1" s="8" t="str">
        <x:v>Alpha a81</x:v>
      </x:c>
    </x:row>
    <x:row r="2">
      <x:c r="A2" t="str">
        <x:v>K2_C5</x:v>
      </x:c>
      <x:c r="B2" t="n">
        <x:f>COUNT('Paired Seeds'!B2:B4)</x:f>
        <x:v>3</x:v>
      </x:c>
      <x:c r="C2" s="16" t="n">
        <x:f>AVERAGE('Paired Seeds'!D2:D4)</x:f>
        <x:v>1.9808894395828247</x:v>
      </x:c>
      <x:c r="D2" s="16" t="n">
        <x:f>STDEV.S('Paired Seeds'!D2:D4)</x:f>
        <x:v>0.005721661953412838</x:v>
      </x:c>
      <x:c r="E2" s="16" t="n">
        <x:f>AVERAGE('Paired Seeds'!E2:E4)</x:f>
        <x:v>1.9788117408752441</x:v>
      </x:c>
      <x:c r="F2" s="16" t="n">
        <x:f>STDEV.S('Paired Seeds'!E2:E4)</x:f>
        <x:v>0.008668523333483814</x:v>
      </x:c>
      <x:c r="G2" s="16" t="n">
        <x:f>AVERAGE('Paired Seeds'!F2:F4)</x:f>
        <x:v>1.9887101252873738</x:v>
      </x:c>
      <x:c r="H2" s="16" t="n">
        <x:f>STDEV.S('Paired Seeds'!F2:F4)</x:f>
        <x:v>0.005604017246588699</x:v>
      </x:c>
      <x:c r="I2" s="16" t="n">
        <x:f>AVERAGE('Paired Seeds'!G2:G4)</x:f>
        <x:v>0.00989838441212972</x:v>
      </x:c>
      <x:c r="J2" s="16" t="n">
        <x:f>STDEV.S('Paired Seeds'!G2:G4)</x:f>
        <x:v>0.013358305437741292</x:v>
      </x:c>
      <x:c r="K2" t="n">
        <x:f>SUM('Paired Seeds'!I2:I4)</x:f>
        <x:v>1</x:v>
      </x:c>
      <x:c r="L2" s="16" t="n">
        <x:f>AVERAGE('Paired Seeds'!H2:H4)</x:f>
        <x:v>0.007820685704549154</x:v>
      </x:c>
      <x:c r="M2" s="16" t="n">
        <x:f>STDEV.S('Paired Seeds'!H2:H4)</x:f>
        <x:v>0.008594538492569668</x:v>
      </x:c>
      <x:c r="N2" t="n">
        <x:f>SUM('Paired Seeds'!J2:J4)</x:f>
        <x:v>1</x:v>
      </x:c>
      <x:c r="O2" s="17" t="n">
        <x:f>AVERAGE('Paired Seeds'!Q2:Q4)</x:f>
        <x:v>1</x:v>
      </x:c>
      <x:c r="P2" s="17" t="n">
        <x:f>AVERAGE('Paired Seeds'!R2:R4)</x:f>
        <x:v>1</x:v>
      </x:c>
      <x:c r="Q2" s="17" t="n">
        <x:f>AVERAGE('Paired Seeds'!W2:W4)</x:f>
        <x:v>0.4984374958143576</x:v>
      </x:c>
      <x:c r="R2" s="17" t="n">
        <x:f>AVERAGE('Paired Seeds'!X2:X4)</x:f>
        <x:v>0.4987499858611743</x:v>
      </x:c>
      <x:c r="S2" t="n">
        <x:f>SUM('Paired Seeds'!AI2:AI4)</x:f>
        <x:v>0</x:v>
      </x:c>
      <x:c r="T2" t="n">
        <x:f>SUM('Paired Seeds'!AJ2:AJ4)</x:f>
        <x:v>0</x:v>
      </x:c>
      <x:c r="U2" t="n">
        <x:f>SUM('Paired Seeds'!AK2:AK4)</x:f>
        <x:v>0</x:v>
      </x:c>
      <x:c r="V2" s="17" t="n">
        <x:f>AVERAGE('Paired Seeds'!AA2:AA4)</x:f>
        <x:v>1</x:v>
      </x:c>
      <x:c r="W2" s="17" t="n">
        <x:f>AVERAGE('Paired Seeds'!AB2:AB4)</x:f>
        <x:v>1</x:v>
      </x:c>
      <x:c r="X2" s="17" t="n">
        <x:f>AVERAGE('Paired Seeds'!AC2:AC4)</x:f>
        <x:v>1</x:v>
      </x:c>
      <x:c r="Y2" s="17" t="n">
        <x:f>AVERAGE('Paired Seeds'!AD2:AD4)</x:f>
        <x:v>1</x:v>
      </x:c>
      <x:c r="Z2" s="17" t="n">
        <x:f>AVERAGE('Paired Seeds'!AE2:AE4)</x:f>
        <x:v>1</x:v>
      </x:c>
      <x:c r="AA2" s="17" t="n">
        <x:f>AVERAGE('Paired Seeds'!AF2:AF4)</x:f>
        <x:v>1</x:v>
      </x:c>
      <x:c r="AB2" s="17" t="n">
        <x:f>AVERAGE('Paired Seeds'!AG2:AG4)</x:f>
        <x:v>1</x:v>
      </x:c>
      <x:c r="AC2" s="17" t="n">
        <x:f>AVERAGE('Paired Seeds'!AH2:AH4)</x:f>
        <x:v>1</x:v>
      </x:c>
      <x:c r="AD2" s="17" t="n">
        <x:f>AVERAGE('Paired Seeds'!S2:S4)</x:f>
        <x:v>0.17020174740253</x:v>
      </x:c>
      <x:c r="AE2" s="17" t="n">
        <x:f>AVERAGE('Paired Seeds'!T2:T4)</x:f>
        <x:v>0.16517674866188667</x:v>
      </x:c>
    </x:row>
    <x:row r="3">
      <x:c r="A3" t="str">
        <x:v>K3_C5</x:v>
      </x:c>
      <x:c r="B3" t="n">
        <x:f>COUNT('Paired Seeds'!B5:B7)</x:f>
        <x:v>3</x:v>
      </x:c>
      <x:c r="C3" s="16" t="n">
        <x:f>AVERAGE('Paired Seeds'!D5:D7)</x:f>
        <x:v>1.9874667723973591</x:v>
      </x:c>
      <x:c r="D3" s="16" t="n">
        <x:f>STDEV.S('Paired Seeds'!D5:D7)</x:f>
        <x:v>0.0017049467555145434</x:v>
      </x:c>
      <x:c r="E3" s="16" t="n">
        <x:f>AVERAGE('Paired Seeds'!E5:E7)</x:f>
        <x:v>2.0334110657374063</x:v>
      </x:c>
      <x:c r="F3" s="16" t="n">
        <x:f>STDEV.S('Paired Seeds'!E5:E7)</x:f>
        <x:v>0.04486243233532539</x:v>
      </x:c>
      <x:c r="G3" s="16" t="n">
        <x:f>AVERAGE('Paired Seeds'!F5:F7)</x:f>
        <x:v>2.0769691467285156</x:v>
      </x:c>
      <x:c r="H3" s="16" t="n">
        <x:f>STDEV.S('Paired Seeds'!F5:F7)</x:f>
        <x:v>0.08375249774804332</x:v>
      </x:c>
      <x:c r="I3" s="16" t="n">
        <x:f>AVERAGE('Paired Seeds'!G5:G7)</x:f>
        <x:v>0.043558080991109215</x:v>
      </x:c>
      <x:c r="J3" s="16" t="n">
        <x:f>STDEV.S('Paired Seeds'!G5:G7)</x:f>
        <x:v>0.09165143699598141</x:v>
      </x:c>
      <x:c r="K3" t="n">
        <x:f>SUM('Paired Seeds'!I5:I7)</x:f>
        <x:v>1</x:v>
      </x:c>
      <x:c r="L3" s="16" t="n">
        <x:f>AVERAGE('Paired Seeds'!H5:H7)</x:f>
        <x:v>0.08950237433115642</x:v>
      </x:c>
      <x:c r="M3" s="16" t="n">
        <x:f>STDEV.S('Paired Seeds'!H5:H7)</x:f>
        <x:v>0.08508109936786279</x:v>
      </x:c>
      <x:c r="N3" t="n">
        <x:f>SUM('Paired Seeds'!J5:J7)</x:f>
        <x:v>0</x:v>
      </x:c>
      <x:c r="O3" s="17" t="n">
        <x:f>AVERAGE('Paired Seeds'!Q5:Q7)</x:f>
        <x:v>1</x:v>
      </x:c>
      <x:c r="P3" s="17" t="n">
        <x:f>AVERAGE('Paired Seeds'!R5:R7)</x:f>
        <x:v>1</x:v>
      </x:c>
      <x:c r="Q3" s="17" t="n">
        <x:f>AVERAGE('Paired Seeds'!W5:W7)</x:f>
        <x:v>0.3260410356613545</x:v>
      </x:c>
      <x:c r="R3" s="17" t="n">
        <x:f>AVERAGE('Paired Seeds'!X5:X7)</x:f>
        <x:v>0.32681037446275446</x:v>
      </x:c>
      <x:c r="S3" t="n">
        <x:f>SUM('Paired Seeds'!AI5:AI7)</x:f>
        <x:v>0</x:v>
      </x:c>
      <x:c r="T3" t="n">
        <x:f>SUM('Paired Seeds'!AJ5:AJ7)</x:f>
        <x:v>0</x:v>
      </x:c>
      <x:c r="U3" t="n">
        <x:f>SUM('Paired Seeds'!AK5:AK7)</x:f>
        <x:v>0</x:v>
      </x:c>
      <x:c r="V3" s="17" t="n">
        <x:f>AVERAGE('Paired Seeds'!AA5:AA7)</x:f>
        <x:v>1</x:v>
      </x:c>
      <x:c r="W3" s="17" t="n">
        <x:f>AVERAGE('Paired Seeds'!AB5:AB7)</x:f>
        <x:v>0.9944444444444445</x:v>
      </x:c>
      <x:c r="X3" s="17" t="n">
        <x:f>AVERAGE('Paired Seeds'!AC5:AC7)</x:f>
        <x:v>1</x:v>
      </x:c>
      <x:c r="Y3" s="17" t="n">
        <x:f>AVERAGE('Paired Seeds'!AD5:AD7)</x:f>
        <x:v>0.9944444444444445</x:v>
      </x:c>
      <x:c r="Z3" s="17" t="n">
        <x:f>AVERAGE('Paired Seeds'!AE5:AE7)</x:f>
        <x:v>1</x:v>
      </x:c>
      <x:c r="AA3" s="17" t="n">
        <x:f>AVERAGE('Paired Seeds'!AF5:AF7)</x:f>
        <x:v>0.9841562455148195</x:v>
      </x:c>
      <x:c r="AB3" s="17" t="n">
        <x:f>AVERAGE('Paired Seeds'!AG5:AG7)</x:f>
        <x:v>1</x:v>
      </x:c>
      <x:c r="AC3" s="17" t="n">
        <x:f>AVERAGE('Paired Seeds'!AH5:AH7)</x:f>
        <x:v>0.9841562455148195</x:v>
      </x:c>
      <x:c r="AD3" s="17" t="n">
        <x:f>AVERAGE('Paired Seeds'!S5:S7)</x:f>
        <x:v>0.22255260067693663</x:v>
      </x:c>
      <x:c r="AE3" s="17" t="n">
        <x:f>AVERAGE('Paired Seeds'!T5:T7)</x:f>
        <x:v>0.26669188144631</x:v>
      </x:c>
    </x:row>
    <x:row r="4">
      <x:c r="A4" t="str">
        <x:v>K4_C5</x:v>
      </x:c>
      <x:c r="B4" t="n">
        <x:f>COUNT('Paired Seeds'!B8:B10)</x:f>
        <x:v>3</x:v>
      </x:c>
      <x:c r="C4" s="16" t="n">
        <x:f>AVERAGE('Paired Seeds'!D8:D10)</x:f>
        <x:v>1.967757026354472</x:v>
      </x:c>
      <x:c r="D4" s="16" t="n">
        <x:f>STDEV.S('Paired Seeds'!D8:D10)</x:f>
        <x:v>0.019887728109669867</x:v>
      </x:c>
      <x:c r="E4" s="16" t="n">
        <x:f>AVERAGE('Paired Seeds'!E8:E10)</x:f>
        <x:v>1.9402465025583904</x:v>
      </x:c>
      <x:c r="F4" s="16" t="n">
        <x:f>STDEV.S('Paired Seeds'!E8:E10)</x:f>
        <x:v>0.013255026456403866</x:v>
      </x:c>
      <x:c r="G4" s="16" t="n">
        <x:f>AVERAGE('Paired Seeds'!F8:F10)</x:f>
        <x:v>1.9552714427312214</x:v>
      </x:c>
      <x:c r="H4" s="16" t="n">
        <x:f>STDEV.S('Paired Seeds'!F8:F10)</x:f>
        <x:v>0.03918340922551399</x:v>
      </x:c>
      <x:c r="I4" s="16" t="n">
        <x:f>AVERAGE('Paired Seeds'!G8:G10)</x:f>
        <x:v>0.015024940172831217</x:v>
      </x:c>
      <x:c r="J4" s="16" t="n">
        <x:f>STDEV.S('Paired Seeds'!G8:G10)</x:f>
        <x:v>0.0437939710199581</x:v>
      </x:c>
      <x:c r="K4" t="n">
        <x:f>SUM('Paired Seeds'!I8:I10)</x:f>
        <x:v>1</x:v>
      </x:c>
      <x:c r="L4" s="16" t="n">
        <x:f>AVERAGE('Paired Seeds'!H8:H10)</x:f>
        <x:v>-0.012485583623250326</x:v>
      </x:c>
      <x:c r="M4" s="16" t="n">
        <x:f>STDEV.S('Paired Seeds'!H8:H10)</x:f>
        <x:v>0.025878922356036456</x:v>
      </x:c>
      <x:c r="N4" t="n">
        <x:f>SUM('Paired Seeds'!J8:J10)</x:f>
        <x:v>2</x:v>
      </x:c>
      <x:c r="O4" s="17" t="n">
        <x:f>AVERAGE('Paired Seeds'!Q8:Q10)</x:f>
        <x:v>1</x:v>
      </x:c>
      <x:c r="P4" s="17" t="n">
        <x:f>AVERAGE('Paired Seeds'!R8:R10)</x:f>
        <x:v>1</x:v>
      </x:c>
      <x:c r="Q4" s="17" t="n">
        <x:f>AVERAGE('Paired Seeds'!W8:W10)</x:f>
        <x:v>0.23984723220172732</x:v>
      </x:c>
      <x:c r="R4" s="17" t="n">
        <x:f>AVERAGE('Paired Seeds'!X8:X10)</x:f>
        <x:v>0.2418868517596416</x:v>
      </x:c>
      <x:c r="S4" t="n">
        <x:f>SUM('Paired Seeds'!AI8:AI10)</x:f>
        <x:v>0</x:v>
      </x:c>
      <x:c r="T4" t="n">
        <x:f>SUM('Paired Seeds'!AJ8:AJ10)</x:f>
        <x:v>0</x:v>
      </x:c>
      <x:c r="U4" t="n">
        <x:f>SUM('Paired Seeds'!AK8:AK10)</x:f>
        <x:v>0</x:v>
      </x:c>
      <x:c r="V4" s="17" t="n">
        <x:f>AVERAGE('Paired Seeds'!AA8:AA10)</x:f>
        <x:v>1</x:v>
      </x:c>
      <x:c r="W4" s="17" t="n">
        <x:f>AVERAGE('Paired Seeds'!AB8:AB10)</x:f>
        <x:v>1</x:v>
      </x:c>
      <x:c r="X4" s="17" t="n">
        <x:f>AVERAGE('Paired Seeds'!AC8:AC10)</x:f>
        <x:v>1</x:v>
      </x:c>
      <x:c r="Y4" s="17" t="n">
        <x:f>AVERAGE('Paired Seeds'!AD8:AD10)</x:f>
        <x:v>1</x:v>
      </x:c>
      <x:c r="Z4" s="17" t="n">
        <x:f>AVERAGE('Paired Seeds'!AE8:AE10)</x:f>
        <x:v>1</x:v>
      </x:c>
      <x:c r="AA4" s="17" t="n">
        <x:f>AVERAGE('Paired Seeds'!AF8:AF10)</x:f>
        <x:v>1</x:v>
      </x:c>
      <x:c r="AB4" s="17" t="n">
        <x:f>AVERAGE('Paired Seeds'!AG8:AG10)</x:f>
        <x:v>1</x:v>
      </x:c>
      <x:c r="AC4" s="17" t="n">
        <x:f>AVERAGE('Paired Seeds'!AH8:AH10)</x:f>
        <x:v>1</x:v>
      </x:c>
      <x:c r="AD4" s="17" t="n">
        <x:f>AVERAGE('Paired Seeds'!S8:S10)</x:f>
        <x:v>0.09609273332690667</x:v>
      </x:c>
      <x:c r="AE4" s="17" t="n">
        <x:f>AVERAGE('Paired Seeds'!T8:T10)</x:f>
        <x:v>0.07100462206538001</x:v>
      </x:c>
    </x:row>
    <x:row r="5">
      <x:c r="A5" t="str">
        <x:v>K5_C5</x:v>
      </x:c>
      <x:c r="B5" t="n">
        <x:f>COUNT('Paired Seeds'!B11:B13)</x:f>
        <x:v>3</x:v>
      </x:c>
      <x:c r="C5" s="16" t="n">
        <x:f>AVERAGE('Paired Seeds'!D11:D13)</x:f>
        <x:v>2.0423382918039956</x:v>
      </x:c>
      <x:c r="D5" s="16" t="n">
        <x:f>STDEV.S('Paired Seeds'!D11:D13)</x:f>
        <x:v>0.01728935933790065</x:v>
      </x:c>
      <x:c r="E5" s="16" t="n">
        <x:f>AVERAGE('Paired Seeds'!E11:E13)</x:f>
        <x:v>2.1450812816619873</x:v>
      </x:c>
      <x:c r="F5" s="16" t="n">
        <x:f>STDEV.S('Paired Seeds'!E11:E13)</x:f>
        <x:v>0.18691475420061493</x:v>
      </x:c>
      <x:c r="G5" s="16" t="n">
        <x:f>AVERAGE('Paired Seeds'!F11:F13)</x:f>
        <x:v>2.1361488898595176</x:v>
      </x:c>
      <x:c r="H5" s="16" t="n">
        <x:f>STDEV.S('Paired Seeds'!F11:F13)</x:f>
        <x:v>0.13388158610907533</x:v>
      </x:c>
      <x:c r="I5" s="16" t="n">
        <x:f>AVERAGE('Paired Seeds'!G11:G13)</x:f>
        <x:v>-0.008932391802469889</x:v>
      </x:c>
      <x:c r="J5" s="16" t="n">
        <x:f>STDEV.S('Paired Seeds'!G11:G13)</x:f>
        <x:v>0.1646911088454057</x:v>
      </x:c>
      <x:c r="K5" t="n">
        <x:f>SUM('Paired Seeds'!I11:I13)</x:f>
        <x:v>2</x:v>
      </x:c>
      <x:c r="L5" s="16" t="n">
        <x:f>AVERAGE('Paired Seeds'!H11:H13)</x:f>
        <x:v>0.09381059805552165</x:v>
      </x:c>
      <x:c r="M5" s="16" t="n">
        <x:f>STDEV.S('Paired Seeds'!H11:H13)</x:f>
        <x:v>0.12382731235153624</x:v>
      </x:c>
      <x:c r="N5" t="n">
        <x:f>SUM('Paired Seeds'!J11:J13)</x:f>
        <x:v>1</x:v>
      </x:c>
      <x:c r="O5" s="17" t="n">
        <x:f>AVERAGE('Paired Seeds'!Q11:Q13)</x:f>
        <x:v>0.9233333333333333</x:v>
      </x:c>
      <x:c r="P5" s="17" t="n">
        <x:f>AVERAGE('Paired Seeds'!R11:R13)</x:f>
        <x:v>0.9633333333333334</x:v>
      </x:c>
      <x:c r="Q5" s="17" t="n">
        <x:f>AVERAGE('Paired Seeds'!W11:W13)</x:f>
        <x:v>0.14088730786663314</x:v>
      </x:c>
      <x:c r="R5" s="17" t="n">
        <x:f>AVERAGE('Paired Seeds'!X11:X13)</x:f>
        <x:v>0.18014640725884512</x:v>
      </x:c>
      <x:c r="S5" t="n">
        <x:f>SUM('Paired Seeds'!AI11:AI13)</x:f>
        <x:v>0</x:v>
      </x:c>
      <x:c r="T5" t="n">
        <x:f>SUM('Paired Seeds'!AJ11:AJ13)</x:f>
        <x:v>0</x:v>
      </x:c>
      <x:c r="U5" t="n">
        <x:f>SUM('Paired Seeds'!AK11:AK13)</x:f>
        <x:v>0</x:v>
      </x:c>
      <x:c r="V5" s="17" t="n">
        <x:f>AVERAGE('Paired Seeds'!AA11:AA13)</x:f>
        <x:v>0.91</x:v>
      </x:c>
      <x:c r="W5" s="17" t="n">
        <x:f>AVERAGE('Paired Seeds'!AB11:AB13)</x:f>
        <x:v>0.96</x:v>
      </x:c>
      <x:c r="X5" s="17" t="n">
        <x:f>AVERAGE('Paired Seeds'!AC11:AC13)</x:f>
        <x:v>0.9116666666666666</x:v>
      </x:c>
      <x:c r="Y5" s="17" t="n">
        <x:f>AVERAGE('Paired Seeds'!AD11:AD13)</x:f>
        <x:v>0.96</x:v>
      </x:c>
      <x:c r="Z5" s="17" t="n">
        <x:f>AVERAGE('Paired Seeds'!AE11:AE13)</x:f>
        <x:v>0.862435369364114</x:v>
      </x:c>
      <x:c r="AA5" s="17" t="n">
        <x:f>AVERAGE('Paired Seeds'!AF11:AF13)</x:f>
        <x:v>0.9088631541923196</x:v>
      </x:c>
      <x:c r="AB5" s="17" t="n">
        <x:f>AVERAGE('Paired Seeds'!AG11:AG13)</x:f>
        <x:v>0.8655579666118348</x:v>
      </x:c>
      <x:c r="AC5" s="17" t="n">
        <x:f>AVERAGE('Paired Seeds'!AH11:AH13)</x:f>
        <x:v>0.9090809321348177</x:v>
      </x:c>
      <x:c r="AD5" s="17" t="n">
        <x:f>AVERAGE('Paired Seeds'!S11:S13)</x:f>
        <x:v>0.32599354210398</x:v>
      </x:c>
      <x:c r="AE5" s="17" t="n">
        <x:f>AVERAGE('Paired Seeds'!T11:T13)</x:f>
        <x:v>0.28623823916185337</x:v>
      </x:c>
    </x:row>
    <x:row r="6">
      <x:c r="A6" t="str">
        <x:v>sin_K2_C5</x:v>
      </x:c>
      <x:c r="B6" t="n">
        <x:f>COUNT('Paired Seeds'!B14:B16)</x:f>
        <x:v>3</x:v>
      </x:c>
      <x:c r="C6" s="16" t="n">
        <x:f>AVERAGE('Paired Seeds'!D14:D16)</x:f>
        <x:v>3.480470657348633</x:v>
      </x:c>
      <x:c r="D6" s="16" t="n">
        <x:f>STDEV.S('Paired Seeds'!D14:D16)</x:f>
        <x:v>0.005284507500899028</x:v>
      </x:c>
      <x:c r="E6" s="16" t="n">
        <x:f>AVERAGE('Paired Seeds'!E14:E16)</x:f>
        <x:v>3.4919065634409585</x:v>
      </x:c>
      <x:c r="F6" s="16" t="n">
        <x:f>STDEV.S('Paired Seeds'!E14:E16)</x:f>
        <x:v>0.004240464310911801</x:v>
      </x:c>
      <x:c r="G6" s="16" t="n">
        <x:f>AVERAGE('Paired Seeds'!F14:F16)</x:f>
        <x:v>3.4878665606180825</x:v>
      </x:c>
      <x:c r="H6" s="16" t="n">
        <x:f>STDEV.S('Paired Seeds'!F14:F16)</x:f>
        <x:v>0.0027749620393473073</x:v>
      </x:c>
      <x:c r="I6" s="16" t="n">
        <x:f>AVERAGE('Paired Seeds'!G14:G16)</x:f>
        <x:v>-0.0040400028228759766</x:v>
      </x:c>
      <x:c r="J6" s="16" t="n">
        <x:f>STDEV.S('Paired Seeds'!G14:G16)</x:f>
        <x:v>0.0055999251521821995</x:v>
      </x:c>
      <x:c r="K6" t="n">
        <x:f>SUM('Paired Seeds'!I14:I16)</x:f>
        <x:v>3</x:v>
      </x:c>
      <x:c r="L6" s="16" t="n">
        <x:f>AVERAGE('Paired Seeds'!H14:H16)</x:f>
        <x:v>0.00739590326944987</x:v>
      </x:c>
      <x:c r="M6" s="16" t="n">
        <x:f>STDEV.S('Paired Seeds'!H14:H16)</x:f>
        <x:v>0.008039862701201404</x:v>
      </x:c>
      <x:c r="N6" t="n">
        <x:f>SUM('Paired Seeds'!J14:J16)</x:f>
        <x:v>0</x:v>
      </x:c>
      <x:c r="O6" s="17" t="n">
        <x:f>AVERAGE('Paired Seeds'!Q14:Q16)</x:f>
        <x:v>0.9875000000000002</x:v>
      </x:c>
      <x:c r="P6" s="17" t="n">
        <x:f>AVERAGE('Paired Seeds'!R14:R16)</x:f>
        <x:v>0.9875000000000002</x:v>
      </x:c>
      <x:c r="Q6" s="17" t="n">
        <x:f>AVERAGE('Paired Seeds'!W14:W16)</x:f>
        <x:v>0.4955519768384032</x:v>
      </x:c>
      <x:c r="R6" s="17" t="n">
        <x:f>AVERAGE('Paired Seeds'!X14:X16)</x:f>
        <x:v>0.49756633060935274</x:v>
      </x:c>
      <x:c r="S6" t="n">
        <x:f>SUM('Paired Seeds'!AI14:AI16)</x:f>
        <x:v>0</x:v>
      </x:c>
      <x:c r="T6" t="n">
        <x:f>SUM('Paired Seeds'!AJ14:AJ16)</x:f>
        <x:v>0</x:v>
      </x:c>
      <x:c r="U6" t="n">
        <x:f>SUM('Paired Seeds'!AK14:AK16)</x:f>
        <x:v>0</x:v>
      </x:c>
      <x:c r="V6" s="17" t="n">
        <x:f>AVERAGE('Paired Seeds'!AA14:AA16)</x:f>
        <x:v>1</x:v>
      </x:c>
      <x:c r="W6" s="17" t="n">
        <x:f>AVERAGE('Paired Seeds'!AB14:AB16)</x:f>
        <x:v>1</x:v>
      </x:c>
      <x:c r="X6" s="17" t="n">
        <x:f>AVERAGE('Paired Seeds'!AC14:AC16)</x:f>
        <x:v>1</x:v>
      </x:c>
      <x:c r="Y6" s="17" t="n">
        <x:f>AVERAGE('Paired Seeds'!AD14:AD16)</x:f>
        <x:v>1</x:v>
      </x:c>
      <x:c r="Z6" s="17" t="n">
        <x:f>AVERAGE('Paired Seeds'!AE14:AE16)</x:f>
        <x:v>1</x:v>
      </x:c>
      <x:c r="AA6" s="17" t="n">
        <x:f>AVERAGE('Paired Seeds'!AF14:AF16)</x:f>
        <x:v>1</x:v>
      </x:c>
      <x:c r="AB6" s="17" t="n">
        <x:f>AVERAGE('Paired Seeds'!AG14:AG16)</x:f>
        <x:v>1</x:v>
      </x:c>
      <x:c r="AC6" s="17" t="n">
        <x:f>AVERAGE('Paired Seeds'!AH14:AH16)</x:f>
        <x:v>1</x:v>
      </x:c>
      <x:c r="AD6" s="17" t="n">
        <x:f>AVERAGE('Paired Seeds'!S14:S16)</x:f>
        <x:v>0.11692662467409</x:v>
      </x:c>
      <x:c r="AE6" s="17" t="n">
        <x:f>AVERAGE('Paired Seeds'!T14:T16)</x:f>
        <x:v>0.07671944588307666</x:v>
      </x:c>
    </x:row>
    <x:row r="7">
      <x:c r="A7" t="str">
        <x:v>sin_K3_C5</x:v>
      </x:c>
      <x:c r="B7" t="n">
        <x:f>COUNT('Paired Seeds'!B17:B19)</x:f>
        <x:v>3</x:v>
      </x:c>
      <x:c r="C7" s="16" t="n">
        <x:f>AVERAGE('Paired Seeds'!D17:D19)</x:f>
        <x:v>0.6654627720514933</x:v>
      </x:c>
      <x:c r="D7" s="16" t="n">
        <x:f>STDEV.S('Paired Seeds'!D17:D19)</x:f>
        <x:v>0.006918540639970903</x:v>
      </x:c>
      <x:c r="E7" s="16" t="n">
        <x:f>AVERAGE('Paired Seeds'!E17:E19)</x:f>
        <x:v>0.7116897702217102</x:v>
      </x:c>
      <x:c r="F7" s="16" t="n">
        <x:f>STDEV.S('Paired Seeds'!E17:E19)</x:f>
        <x:v>0.039522607966409475</x:v>
      </x:c>
      <x:c r="G7" s="16" t="n">
        <x:f>AVERAGE('Paired Seeds'!F17:F19)</x:f>
        <x:v>0.7234085202217102</x:v>
      </x:c>
      <x:c r="H7" s="16" t="n">
        <x:f>STDEV.S('Paired Seeds'!F17:F19)</x:f>
        <x:v>0.03144243531463256</x:v>
      </x:c>
      <x:c r="I7" s="16" t="n">
        <x:f>AVERAGE('Paired Seeds'!G17:G19)</x:f>
        <x:v>0.01171875</x:v>
      </x:c>
      <x:c r="J7" s="16" t="n">
        <x:f>STDEV.S('Paired Seeds'!G17:G19)</x:f>
        <x:v>0.012115150721859218</x:v>
      </x:c>
      <x:c r="K7" t="n">
        <x:f>SUM('Paired Seeds'!I17:I19)</x:f>
        <x:v>0</x:v>
      </x:c>
      <x:c r="L7" s="16" t="n">
        <x:f>AVERAGE('Paired Seeds'!H17:H19)</x:f>
        <x:v>0.05794574817021688</x:v>
      </x:c>
      <x:c r="M7" s="16" t="n">
        <x:f>STDEV.S('Paired Seeds'!H17:H19)</x:f>
        <x:v>0.03559800878862393</x:v>
      </x:c>
      <x:c r="N7" t="n">
        <x:f>SUM('Paired Seeds'!J17:J19)</x:f>
        <x:v>0</x:v>
      </x:c>
      <x:c r="O7" s="17" t="n">
        <x:f>AVERAGE('Paired Seeds'!Q17:Q19)</x:f>
        <x:v>0.9249999999999999</x:v>
      </x:c>
      <x:c r="P7" s="17" t="n">
        <x:f>AVERAGE('Paired Seeds'!R17:R19)</x:f>
        <x:v>0.9444444444444445</x:v>
      </x:c>
      <x:c r="Q7" s="17" t="n">
        <x:f>AVERAGE('Paired Seeds'!W17:W19)</x:f>
        <x:v>0.22659700971186938</x:v>
      </x:c>
      <x:c r="R7" s="17" t="n">
        <x:f>AVERAGE('Paired Seeds'!X17:X19)</x:f>
        <x:v>0.2478545505438469</x:v>
      </x:c>
      <x:c r="S7" t="n">
        <x:f>SUM('Paired Seeds'!AI17:AI19)</x:f>
        <x:v>1</x:v>
      </x:c>
      <x:c r="T7" t="n">
        <x:f>SUM('Paired Seeds'!AJ17:AJ19)</x:f>
        <x:v>0</x:v>
      </x:c>
      <x:c r="U7" t="n">
        <x:f>SUM('Paired Seeds'!AK17:AK19)</x:f>
        <x:v>1</x:v>
      </x:c>
      <x:c r="V7" s="17" t="n">
        <x:f>AVERAGE('Paired Seeds'!AA17:AA19)</x:f>
        <x:v>0.9194444444444444</x:v>
      </x:c>
      <x:c r="W7" s="17" t="n">
        <x:f>AVERAGE('Paired Seeds'!AB17:AB19)</x:f>
        <x:v>0.9333333333333332</x:v>
      </x:c>
      <x:c r="X7" s="17" t="n">
        <x:f>AVERAGE('Paired Seeds'!AC17:AC19)</x:f>
        <x:v>0.9249999999999999</x:v>
      </x:c>
      <x:c r="Y7" s="17" t="n">
        <x:f>AVERAGE('Paired Seeds'!AD17:AD19)</x:f>
        <x:v>0.9333333333333332</x:v>
      </x:c>
      <x:c r="Z7" s="17" t="n">
        <x:f>AVERAGE('Paired Seeds'!AE17:AE19)</x:f>
        <x:v>0.8505522005262506</x:v>
      </x:c>
      <x:c r="AA7" s="17" t="n">
        <x:f>AVERAGE('Paired Seeds'!AF17:AF19)</x:f>
        <x:v>0.86152979110047</x:v>
      </x:c>
      <x:c r="AB7" s="17" t="n">
        <x:f>AVERAGE('Paired Seeds'!AG17:AG19)</x:f>
        <x:v>0.8542032498469313</x:v>
      </x:c>
      <x:c r="AC7" s="17" t="n">
        <x:f>AVERAGE('Paired Seeds'!AH17:AH19)</x:f>
        <x:v>0.857975148382363</x:v>
      </x:c>
      <x:c r="AD7" s="17" t="n">
        <x:f>AVERAGE('Paired Seeds'!S17:S19)</x:f>
        <x:v>0.4515328240146734</x:v>
      </x:c>
      <x:c r="AE7" s="17" t="n">
        <x:f>AVERAGE('Paired Seeds'!T17:T19)</x:f>
        <x:v>0.5686862351437266</x:v>
      </x:c>
    </x:row>
    <x:row r="8">
      <x:c r="A8" t="str">
        <x:v>sin_K4_C5</x:v>
      </x:c>
      <x:c r="B8" t="n">
        <x:f>COUNT('Paired Seeds'!B20:B22)</x:f>
        <x:v>3</x:v>
      </x:c>
      <x:c r="C8" s="16" t="n">
        <x:f>AVERAGE('Paired Seeds'!D20:D22)</x:f>
        <x:v>0.8335512081782023</x:v>
      </x:c>
      <x:c r="D8" s="16" t="n">
        <x:f>STDEV.S('Paired Seeds'!D20:D22)</x:f>
        <x:v>0.0010965747741606118</x:v>
      </x:c>
      <x:c r="E8" s="16" t="n">
        <x:f>AVERAGE('Paired Seeds'!E20:E22)</x:f>
        <x:v>0.8582131862640381</x:v>
      </x:c>
      <x:c r="F8" s="16" t="n">
        <x:f>STDEV.S('Paired Seeds'!E20:E22)</x:f>
        <x:v>0.017492765603243175</x:v>
      </x:c>
      <x:c r="G8" s="16" t="n">
        <x:f>AVERAGE('Paired Seeds'!F20:F22)</x:f>
        <x:v>0.846337894598643</x:v>
      </x:c>
      <x:c r="H8" s="16" t="n">
        <x:f>STDEV.S('Paired Seeds'!F20:F22)</x:f>
        <x:v>0.007825903374221019</x:v>
      </x:c>
      <x:c r="I8" s="16" t="n">
        <x:f>AVERAGE('Paired Seeds'!G20:G22)</x:f>
        <x:v>-0.011875291665395101</x:v>
      </x:c>
      <x:c r="J8" s="16" t="n">
        <x:f>STDEV.S('Paired Seeds'!G20:G22)</x:f>
        <x:v>0.01480578647387373</x:v>
      </x:c>
      <x:c r="K8" t="n">
        <x:f>SUM('Paired Seeds'!I20:I22)</x:f>
        <x:v>2</x:v>
      </x:c>
      <x:c r="L8" s="16" t="n">
        <x:f>AVERAGE('Paired Seeds'!H20:H22)</x:f>
        <x:v>0.012786686420440674</x:v>
      </x:c>
      <x:c r="M8" s="16" t="n">
        <x:f>STDEV.S('Paired Seeds'!H20:H22)</x:f>
        <x:v>0.006915113869253292</x:v>
      </x:c>
      <x:c r="N8" t="n">
        <x:f>SUM('Paired Seeds'!J20:J22)</x:f>
        <x:v>0</x:v>
      </x:c>
      <x:c r="O8" s="17" t="n">
        <x:f>AVERAGE('Paired Seeds'!Q20:Q22)</x:f>
        <x:v>0.8250000000000001</x:v>
      </x:c>
      <x:c r="P8" s="17" t="n">
        <x:f>AVERAGE('Paired Seeds'!R20:R22)</x:f>
        <x:v>0.9020833333333332</x:v>
      </x:c>
      <x:c r="Q8" s="17" t="n">
        <x:f>AVERAGE('Paired Seeds'!W20:W22)</x:f>
        <x:v>0.051941151133545964</x:v>
      </x:c>
      <x:c r="R8" s="17" t="n">
        <x:f>AVERAGE('Paired Seeds'!X20:X22)</x:f>
        <x:v>0.20700824495191275</x:v>
      </x:c>
      <x:c r="S8" t="n">
        <x:f>SUM('Paired Seeds'!AI20:AI22)</x:f>
        <x:v>2</x:v>
      </x:c>
      <x:c r="T8" t="n">
        <x:f>SUM('Paired Seeds'!AJ20:AJ22)</x:f>
        <x:v>0</x:v>
      </x:c>
      <x:c r="U8" t="n">
        <x:f>SUM('Paired Seeds'!AK20:AK22)</x:f>
        <x:v>2</x:v>
      </x:c>
      <x:c r="V8" s="17" t="n">
        <x:f>AVERAGE('Paired Seeds'!AA20:AA22)</x:f>
        <x:v>0.7979166666666666</x:v>
      </x:c>
      <x:c r="W8" s="17" t="n">
        <x:f>AVERAGE('Paired Seeds'!AB20:AB22)</x:f>
        <x:v>0.8875000000000001</x:v>
      </x:c>
      <x:c r="X8" s="17" t="n">
        <x:f>AVERAGE('Paired Seeds'!AC20:AC22)</x:f>
        <x:v>0.7979166666666666</x:v>
      </x:c>
      <x:c r="Y8" s="17" t="n">
        <x:f>AVERAGE('Paired Seeds'!AD20:AD22)</x:f>
        <x:v>0.8937500000000002</x:v>
      </x:c>
      <x:c r="Z8" s="17" t="n">
        <x:f>AVERAGE('Paired Seeds'!AE20:AE22)</x:f>
        <x:v>0.6457589738452355</x:v>
      </x:c>
      <x:c r="AA8" s="17" t="n">
        <x:f>AVERAGE('Paired Seeds'!AF20:AF22)</x:f>
        <x:v>0.7651668789987164</x:v>
      </x:c>
      <x:c r="AB8" s="17" t="n">
        <x:f>AVERAGE('Paired Seeds'!AG20:AG22)</x:f>
        <x:v>0.6458600142060872</x:v>
      </x:c>
      <x:c r="AC8" s="17" t="n">
        <x:f>AVERAGE('Paired Seeds'!AH20:AH22)</x:f>
        <x:v>0.774017904784828</x:v>
      </x:c>
      <x:c r="AD8" s="17" t="n">
        <x:f>AVERAGE('Paired Seeds'!S20:S22)</x:f>
        <x:v>0.28544220972320006</x:v>
      </x:c>
      <x:c r="AE8" s="17" t="n">
        <x:f>AVERAGE('Paired Seeds'!T20:T22)</x:f>
        <x:v>0.38687638875837</x:v>
      </x:c>
    </x:row>
    <x:row r="9">
      <x:c r="A9" t="str">
        <x:v>sin_K5_C5</x:v>
      </x:c>
      <x:c r="B9" t="n">
        <x:f>COUNT('Paired Seeds'!B23:B25)</x:f>
        <x:v>3</x:v>
      </x:c>
      <x:c r="C9" s="16" t="n">
        <x:f>AVERAGE('Paired Seeds'!D23:D25)</x:f>
        <x:v>3.050121784210205</x:v>
      </x:c>
      <x:c r="D9" s="16" t="n">
        <x:f>STDEV.S('Paired Seeds'!D23:D25)</x:f>
        <x:v>0.004005331190006784</x:v>
      </x:c>
      <x:c r="E9" s="16" t="n">
        <x:f>AVERAGE('Paired Seeds'!E23:E25)</x:f>
        <x:v>3.0149529774983725</x:v>
      </x:c>
      <x:c r="F9" s="16" t="n">
        <x:f>STDEV.S('Paired Seeds'!E23:E25)</x:f>
        <x:v>0.005177742788894462</x:v>
      </x:c>
      <x:c r="G9" s="16" t="n">
        <x:f>AVERAGE('Paired Seeds'!F23:F25)</x:f>
        <x:v>3.020424763361613</x:v>
      </x:c>
      <x:c r="H9" s="16" t="n">
        <x:f>STDEV.S('Paired Seeds'!F23:F25)</x:f>
        <x:v>0.005180715823801265</x:v>
      </x:c>
      <x:c r="I9" s="16" t="n">
        <x:f>AVERAGE('Paired Seeds'!G23:G25)</x:f>
        <x:v>0.00547178586324056</x:v>
      </x:c>
      <x:c r="J9" s="16" t="n">
        <x:f>STDEV.S('Paired Seeds'!G23:G25)</x:f>
        <x:v>0.0006140578388490066</x:v>
      </x:c>
      <x:c r="K9" t="n">
        <x:f>SUM('Paired Seeds'!I23:I25)</x:f>
        <x:v>0</x:v>
      </x:c>
      <x:c r="L9" s="16" t="n">
        <x:f>AVERAGE('Paired Seeds'!H23:H25)</x:f>
        <x:v>-0.02969702084859212</x:v>
      </x:c>
      <x:c r="M9" s="16" t="n">
        <x:f>STDEV.S('Paired Seeds'!H23:H25)</x:f>
        <x:v>0.0021012354244032486</x:v>
      </x:c>
      <x:c r="N9" t="n">
        <x:f>SUM('Paired Seeds'!J23:J25)</x:f>
        <x:v>3</x:v>
      </x:c>
      <x:c r="O9" s="17" t="n">
        <x:f>AVERAGE('Paired Seeds'!Q23:Q25)</x:f>
        <x:v>0.9633333333333334</x:v>
      </x:c>
      <x:c r="P9" s="17" t="n">
        <x:f>AVERAGE('Paired Seeds'!R23:R25)</x:f>
        <x:v>0.965</x:v>
      </x:c>
      <x:c r="Q9" s="17" t="n">
        <x:f>AVERAGE('Paired Seeds'!W23:W25)</x:f>
        <x:v>0.18861955388067408</x:v>
      </x:c>
      <x:c r="R9" s="17" t="n">
        <x:f>AVERAGE('Paired Seeds'!X23:X25)</x:f>
        <x:v>0.19312927077066613</x:v>
      </x:c>
      <x:c r="S9" t="n">
        <x:f>SUM('Paired Seeds'!AI23:AI25)</x:f>
        <x:v>0</x:v>
      </x:c>
      <x:c r="T9" t="n">
        <x:f>SUM('Paired Seeds'!AJ23:AJ25)</x:f>
        <x:v>0</x:v>
      </x:c>
      <x:c r="U9" t="n">
        <x:f>SUM('Paired Seeds'!AK23:AK25)</x:f>
        <x:v>0</x:v>
      </x:c>
      <x:c r="V9" s="17" t="n">
        <x:f>AVERAGE('Paired Seeds'!AA23:AA25)</x:f>
        <x:v>0.9883333333333333</x:v>
      </x:c>
      <x:c r="W9" s="17" t="n">
        <x:f>AVERAGE('Paired Seeds'!AB23:AB25)</x:f>
        <x:v>0.9916666666666666</x:v>
      </x:c>
      <x:c r="X9" s="17" t="n">
        <x:f>AVERAGE('Paired Seeds'!AC23:AC25)</x:f>
        <x:v>0.9883333333333333</x:v>
      </x:c>
      <x:c r="Y9" s="17" t="n">
        <x:f>AVERAGE('Paired Seeds'!AD23:AD25)</x:f>
        <x:v>0.9866666666666667</x:v>
      </x:c>
      <x:c r="Z9" s="17" t="n">
        <x:f>AVERAGE('Paired Seeds'!AE23:AE25)</x:f>
        <x:v>0.9696727498005249</x:v>
      </x:c>
      <x:c r="AA9" s="17" t="n">
        <x:f>AVERAGE('Paired Seeds'!AF23:AF25)</x:f>
        <x:v>0.9783199454583195</x:v>
      </x:c>
      <x:c r="AB9" s="17" t="n">
        <x:f>AVERAGE('Paired Seeds'!AG23:AG25)</x:f>
        <x:v>0.9696727498005249</x:v>
      </x:c>
      <x:c r="AC9" s="17" t="n">
        <x:f>AVERAGE('Paired Seeds'!AH23:AH25)</x:f>
        <x:v>0.9656302291483834</x:v>
      </x:c>
      <x:c r="AD9" s="17" t="n">
        <x:f>AVERAGE('Paired Seeds'!S23:S25)</x:f>
        <x:v>0.26623082977787665</x:v>
      </x:c>
      <x:c r="AE9" s="17" t="n">
        <x:f>AVERAGE('Paired Seeds'!T23:T25)</x:f>
        <x:v>0.19632109142844334</x:v>
      </x:c>
    </x:row>
    <x:row r="10">
      <x:c r="A10" t="str">
        <x:v>trunc_K2_C5</x:v>
      </x:c>
      <x:c r="B10" t="n">
        <x:f>COUNT('Paired Seeds'!B26:B28)</x:f>
        <x:v>3</x:v>
      </x:c>
      <x:c r="C10" s="16" t="n">
        <x:f>AVERAGE('Paired Seeds'!D26:D28)</x:f>
        <x:v>3.6345647176106772</x:v>
      </x:c>
      <x:c r="D10" s="16" t="n">
        <x:f>STDEV.S('Paired Seeds'!D26:D28)</x:f>
        <x:v>0.01660738801740024</x:v>
      </x:c>
      <x:c r="E10" s="16" t="n">
        <x:f>AVERAGE('Paired Seeds'!E26:E28)</x:f>
        <x:v>3.6165615717569985</x:v>
      </x:c>
      <x:c r="F10" s="16" t="n">
        <x:f>STDEV.S('Paired Seeds'!E26:E28)</x:f>
        <x:v>0.0007435061632010062</x:v>
      </x:c>
      <x:c r="G10" s="16" t="n">
        <x:f>AVERAGE('Paired Seeds'!F26:F28)</x:f>
        <x:v>3.6166604359944663</x:v>
      </x:c>
      <x:c r="H10" s="16" t="n">
        <x:f>STDEV.S('Paired Seeds'!F26:F28)</x:f>
        <x:v>0.0007524621173275883</x:v>
      </x:c>
      <x:c r="I10" s="16" t="n">
        <x:f>AVERAGE('Paired Seeds'!G26:G28)</x:f>
        <x:v>0.00009886423746744792</x:v>
      </x:c>
      <x:c r="J10" s="16" t="n">
        <x:f>STDEV.S('Paired Seeds'!G26:G28)</x:f>
        <x:v>0.0001961163950083767</x:v>
      </x:c>
      <x:c r="K10" t="n">
        <x:f>SUM('Paired Seeds'!I26:I28)</x:f>
        <x:v>1</x:v>
      </x:c>
      <x:c r="L10" s="16" t="n">
        <x:f>AVERAGE('Paired Seeds'!H26:H28)</x:f>
        <x:v>-0.017904281616210938</x:v>
      </x:c>
      <x:c r="M10" s="16" t="n">
        <x:f>STDEV.S('Paired Seeds'!H26:H28)</x:f>
        <x:v>0.01586554943820357</x:v>
      </x:c>
      <x:c r="N10" t="n">
        <x:f>SUM('Paired Seeds'!J26:J28)</x:f>
        <x:v>2</x:v>
      </x:c>
      <x:c r="O10" s="17" t="n">
        <x:f>AVERAGE('Paired Seeds'!Q26:Q28)</x:f>
        <x:v>1</x:v>
      </x:c>
      <x:c r="P10" s="17" t="n">
        <x:f>AVERAGE('Paired Seeds'!R26:R28)</x:f>
        <x:v>1</x:v>
      </x:c>
      <x:c r="Q10" s="17" t="n">
        <x:f>AVERAGE('Paired Seeds'!W26:W28)</x:f>
        <x:v>0.4984374958143576</x:v>
      </x:c>
      <x:c r="R10" s="17" t="n">
        <x:f>AVERAGE('Paired Seeds'!X26:X28)</x:f>
        <x:v>0.4987499858611743</x:v>
      </x:c>
      <x:c r="S10" t="n">
        <x:f>SUM('Paired Seeds'!AI26:AI28)</x:f>
        <x:v>0</x:v>
      </x:c>
      <x:c r="T10" t="n">
        <x:f>SUM('Paired Seeds'!AJ26:AJ28)</x:f>
        <x:v>0</x:v>
      </x:c>
      <x:c r="U10" t="n">
        <x:f>SUM('Paired Seeds'!AK26:AK28)</x:f>
        <x:v>0</x:v>
      </x:c>
      <x:c r="V10" s="17" t="n">
        <x:f>AVERAGE('Paired Seeds'!AA26:AA28)</x:f>
        <x:v>1</x:v>
      </x:c>
      <x:c r="W10" s="17" t="n">
        <x:f>AVERAGE('Paired Seeds'!AB26:AB28)</x:f>
        <x:v>1</x:v>
      </x:c>
      <x:c r="X10" s="17" t="n">
        <x:f>AVERAGE('Paired Seeds'!AC26:AC28)</x:f>
        <x:v>1</x:v>
      </x:c>
      <x:c r="Y10" s="17" t="n">
        <x:f>AVERAGE('Paired Seeds'!AD26:AD28)</x:f>
        <x:v>1</x:v>
      </x:c>
      <x:c r="Z10" s="17" t="n">
        <x:f>AVERAGE('Paired Seeds'!AE26:AE28)</x:f>
        <x:v>1</x:v>
      </x:c>
      <x:c r="AA10" s="17" t="n">
        <x:f>AVERAGE('Paired Seeds'!AF26:AF28)</x:f>
        <x:v>1</x:v>
      </x:c>
      <x:c r="AB10" s="17" t="n">
        <x:f>AVERAGE('Paired Seeds'!AG26:AG28)</x:f>
        <x:v>1</x:v>
      </x:c>
      <x:c r="AC10" s="17" t="n">
        <x:f>AVERAGE('Paired Seeds'!AH26:AH28)</x:f>
        <x:v>1</x:v>
      </x:c>
      <x:c r="AD10" s="17" t="n">
        <x:f>AVERAGE('Paired Seeds'!S26:S28)</x:f>
        <x:v>0.11597038479796999</x:v>
      </x:c>
      <x:c r="AE10" s="17" t="n">
        <x:f>AVERAGE('Paired Seeds'!T26:T28)</x:f>
        <x:v>0.10850159460447001</x:v>
      </x:c>
    </x:row>
    <x:row r="11">
      <x:c r="A11" t="str">
        <x:v>trunc_K3_C5</x:v>
      </x:c>
      <x:c r="B11" t="n">
        <x:f>COUNT('Paired Seeds'!B29:B31)</x:f>
        <x:v>3</x:v>
      </x:c>
      <x:c r="C11" s="16" t="n">
        <x:f>AVERAGE('Paired Seeds'!D29:D31)</x:f>
        <x:v>4.172294934590657</x:v>
      </x:c>
      <x:c r="D11" s="16" t="n">
        <x:f>STDEV.S('Paired Seeds'!D29:D31)</x:f>
        <x:v>0.01716397689315057</x:v>
      </x:c>
      <x:c r="E11" s="16" t="n">
        <x:f>AVERAGE('Paired Seeds'!E29:E31)</x:f>
        <x:v>4.1613814036051435</x:v>
      </x:c>
      <x:c r="F11" s="16" t="n">
        <x:f>STDEV.S('Paired Seeds'!E29:E31)</x:f>
        <x:v>0.0005394991183836198</x:v>
      </x:c>
      <x:c r="G11" s="16" t="n">
        <x:f>AVERAGE('Paired Seeds'!F29:F31)</x:f>
        <x:v>4.161502838134766</x:v>
      </x:c>
      <x:c r="H11" s="16" t="n">
        <x:f>STDEV.S('Paired Seeds'!F29:F31)</x:f>
        <x:v>0.00033879506595614124</x:v>
      </x:c>
      <x:c r="I11" s="16" t="n">
        <x:f>AVERAGE('Paired Seeds'!G29:G31)</x:f>
        <x:v>0.00012143452962239583</x:v>
      </x:c>
      <x:c r="J11" s="16" t="n">
        <x:f>STDEV.S('Paired Seeds'!G29:G31)</x:f>
        <x:v>0.00020327604034139045</x:v>
      </x:c>
      <x:c r="K11" t="n">
        <x:f>SUM('Paired Seeds'!I29:I31)</x:f>
        <x:v>1</x:v>
      </x:c>
      <x:c r="L11" s="16" t="n">
        <x:f>AVERAGE('Paired Seeds'!H29:H31)</x:f>
        <x:v>-0.010792096455891928</x:v>
      </x:c>
      <x:c r="M11" s="16" t="n">
        <x:f>STDEV.S('Paired Seeds'!H29:H31)</x:f>
        <x:v>0.016863016432017933</x:v>
      </x:c>
      <x:c r="N11" t="n">
        <x:f>SUM('Paired Seeds'!J29:J31)</x:f>
        <x:v>3</x:v>
      </x:c>
      <x:c r="O11" s="17" t="n">
        <x:f>AVERAGE('Paired Seeds'!Q29:Q31)</x:f>
        <x:v>0.9583333333333334</x:v>
      </x:c>
      <x:c r="P11" s="17" t="n">
        <x:f>AVERAGE('Paired Seeds'!R29:R31)</x:f>
        <x:v>0.9611111111111111</x:v>
      </x:c>
      <x:c r="Q11" s="17" t="n">
        <x:f>AVERAGE('Paired Seeds'!W29:W31)</x:f>
        <x:v>0.32080365675334876</x:v>
      </x:c>
      <x:c r="R11" s="17" t="n">
        <x:f>AVERAGE('Paired Seeds'!X29:X31)</x:f>
        <x:v>0.32205106094462016</x:v>
      </x:c>
      <x:c r="S11" t="n">
        <x:f>SUM('Paired Seeds'!AI29:AI31)</x:f>
        <x:v>0</x:v>
      </x:c>
      <x:c r="T11" t="n">
        <x:f>SUM('Paired Seeds'!AJ29:AJ31)</x:f>
        <x:v>0</x:v>
      </x:c>
      <x:c r="U11" t="n">
        <x:f>SUM('Paired Seeds'!AK29:AK31)</x:f>
        <x:v>0</x:v>
      </x:c>
      <x:c r="V11" s="17" t="n">
        <x:f>AVERAGE('Paired Seeds'!AA29:AA31)</x:f>
        <x:v>0.9805555555555555</x:v>
      </x:c>
      <x:c r="W11" s="17" t="n">
        <x:f>AVERAGE('Paired Seeds'!AB29:AB31)</x:f>
        <x:v>0.9833333333333333</x:v>
      </x:c>
      <x:c r="X11" s="17" t="n">
        <x:f>AVERAGE('Paired Seeds'!AC29:AC31)</x:f>
        <x:v>0.9805555555555555</x:v>
      </x:c>
      <x:c r="Y11" s="17" t="n">
        <x:f>AVERAGE('Paired Seeds'!AD29:AD31)</x:f>
        <x:v>0.9833333333333333</x:v>
      </x:c>
      <x:c r="Z11" s="17" t="n">
        <x:f>AVERAGE('Paired Seeds'!AE29:AE31)</x:f>
        <x:v>0.9427118949579598</x:v>
      </x:c>
      <x:c r="AA11" s="17" t="n">
        <x:f>AVERAGE('Paired Seeds'!AF29:AF31)</x:f>
        <x:v>0.9505996090865425</x:v>
      </x:c>
      <x:c r="AB11" s="17" t="n">
        <x:f>AVERAGE('Paired Seeds'!AG29:AG31)</x:f>
        <x:v>0.9427118949579598</x:v>
      </x:c>
      <x:c r="AC11" s="17" t="n">
        <x:f>AVERAGE('Paired Seeds'!AH29:AH31)</x:f>
        <x:v>0.9505996090865425</x:v>
      </x:c>
      <x:c r="AD11" s="17" t="n">
        <x:f>AVERAGE('Paired Seeds'!S29:S31)</x:f>
        <x:v>0.06183113871586667</x:v>
      </x:c>
      <x:c r="AE11" s="17" t="n">
        <x:f>AVERAGE('Paired Seeds'!T29:T31)</x:f>
        <x:v>0.05734218453192333</x:v>
      </x:c>
    </x:row>
    <x:row r="12">
      <x:c r="A12" t="str">
        <x:v>trunc_K4_C5</x:v>
      </x:c>
      <x:c r="B12" t="n">
        <x:f>COUNT('Paired Seeds'!B32:B34)</x:f>
        <x:v>3</x:v>
      </x:c>
      <x:c r="C12" s="16" t="n">
        <x:f>AVERAGE('Paired Seeds'!D32:D34)</x:f>
        <x:v>3.8324607213338218</x:v>
      </x:c>
      <x:c r="D12" s="16" t="n">
        <x:f>STDEV.S('Paired Seeds'!D32:D34)</x:f>
        <x:v>0.018524555712992014</x:v>
      </x:c>
      <x:c r="E12" s="16" t="n">
        <x:f>AVERAGE('Paired Seeds'!E32:E34)</x:f>
        <x:v>3.8022632598876953</x:v>
      </x:c>
      <x:c r="F12" s="16" t="n">
        <x:f>STDEV.S('Paired Seeds'!E32:E34)</x:f>
        <x:v>0.0008115935127796637</x:v>
      </x:c>
      <x:c r="G12" s="16" t="n">
        <x:f>AVERAGE('Paired Seeds'!F32:F34)</x:f>
        <x:v>3.8025457859039307</x:v>
      </x:c>
      <x:c r="H12" s="16" t="n">
        <x:f>STDEV.S('Paired Seeds'!F32:F34)</x:f>
        <x:v>0.0010538866319541194</x:v>
      </x:c>
      <x:c r="I12" s="16" t="n">
        <x:f>AVERAGE('Paired Seeds'!G32:G34)</x:f>
        <x:v>0.00028252601623535156</x:v>
      </x:c>
      <x:c r="J12" s="16" t="n">
        <x:f>STDEV.S('Paired Seeds'!G32:G34)</x:f>
        <x:v>0.0002718282355586111</x:v>
      </x:c>
      <x:c r="K12" t="n">
        <x:f>SUM('Paired Seeds'!I32:I34)</x:f>
        <x:v>0</x:v>
      </x:c>
      <x:c r="L12" s="16" t="n">
        <x:f>AVERAGE('Paired Seeds'!H32:H34)</x:f>
        <x:v>-0.02991493542989095</x:v>
      </x:c>
      <x:c r="M12" s="16" t="n">
        <x:f>STDEV.S('Paired Seeds'!H32:H34)</x:f>
        <x:v>0.019532131577814357</x:v>
      </x:c>
      <x:c r="N12" t="n">
        <x:f>SUM('Paired Seeds'!J32:J34)</x:f>
        <x:v>3</x:v>
      </x:c>
      <x:c r="O12" s="17" t="n">
        <x:f>AVERAGE('Paired Seeds'!Q32:Q34)</x:f>
        <x:v>0.9833333333333334</x:v>
      </x:c>
      <x:c r="P12" s="17" t="n">
        <x:f>AVERAGE('Paired Seeds'!R32:R34)</x:f>
        <x:v>0.9833333333333334</x:v>
      </x:c>
      <x:c r="Q12" s="17" t="n">
        <x:f>AVERAGE('Paired Seeds'!W32:W34)</x:f>
        <x:v>0.24176631320251638</x:v>
      </x:c>
      <x:c r="R12" s="17" t="n">
        <x:f>AVERAGE('Paired Seeds'!X32:X34)</x:f>
        <x:v>0.2435405514252187</x:v>
      </x:c>
      <x:c r="S12" t="n">
        <x:f>SUM('Paired Seeds'!AI32:AI34)</x:f>
        <x:v>0</x:v>
      </x:c>
      <x:c r="T12" t="n">
        <x:f>SUM('Paired Seeds'!AJ32:AJ34)</x:f>
        <x:v>0</x:v>
      </x:c>
      <x:c r="U12" t="n">
        <x:f>SUM('Paired Seeds'!AK32:AK34)</x:f>
        <x:v>0</x:v>
      </x:c>
      <x:c r="V12" s="17" t="n">
        <x:f>AVERAGE('Paired Seeds'!AA32:AA34)</x:f>
        <x:v>0.9895833333333334</x:v>
      </x:c>
      <x:c r="W12" s="17" t="n">
        <x:f>AVERAGE('Paired Seeds'!AB32:AB34)</x:f>
        <x:v>0.9875000000000002</x:v>
      </x:c>
      <x:c r="X12" s="17" t="n">
        <x:f>AVERAGE('Paired Seeds'!AC32:AC34)</x:f>
        <x:v>0.9895833333333334</x:v>
      </x:c>
      <x:c r="Y12" s="17" t="n">
        <x:f>AVERAGE('Paired Seeds'!AD32:AD34)</x:f>
        <x:v>0.9895833333333334</x:v>
      </x:c>
      <x:c r="Z12" s="17" t="n">
        <x:f>AVERAGE('Paired Seeds'!AE32:AE34)</x:f>
        <x:v>0.9715049801869063</x:v>
      </x:c>
      <x:c r="AA12" s="17" t="n">
        <x:f>AVERAGE('Paired Seeds'!AF32:AF34)</x:f>
        <x:v>0.9661283191809221</x:v>
      </x:c>
      <x:c r="AB12" s="17" t="n">
        <x:f>AVERAGE('Paired Seeds'!AG32:AG34)</x:f>
        <x:v>0.9715049801869063</x:v>
      </x:c>
      <x:c r="AC12" s="17" t="n">
        <x:f>AVERAGE('Paired Seeds'!AH32:AH34)</x:f>
        <x:v>0.9715049801869063</x:v>
      </x:c>
      <x:c r="AD12" s="17" t="n">
        <x:f>AVERAGE('Paired Seeds'!S32:S34)</x:f>
        <x:v>0.11075349509039001</x:v>
      </x:c>
      <x:c r="AE12" s="17" t="n">
        <x:f>AVERAGE('Paired Seeds'!T32:T34)</x:f>
        <x:v>0.10174910810526666</x:v>
      </x:c>
    </x:row>
    <x:row r="13">
      <x:c r="A13" t="str">
        <x:v>trunc_K5_C5</x:v>
      </x:c>
      <x:c r="B13" t="n">
        <x:f>COUNT('Paired Seeds'!B35:B37)</x:f>
        <x:v>3</x:v>
      </x:c>
      <x:c r="C13" s="16" t="n">
        <x:f>AVERAGE('Paired Seeds'!D35:D37)</x:f>
        <x:v>3.9404908816019693</x:v>
      </x:c>
      <x:c r="D13" s="16" t="n">
        <x:f>STDEV.S('Paired Seeds'!D35:D37)</x:f>
        <x:v>0.020072583532692503</x:v>
      </x:c>
      <x:c r="E13" s="16" t="n">
        <x:f>AVERAGE('Paired Seeds'!E35:E37)</x:f>
        <x:v>3.9275804360707602</x:v>
      </x:c>
      <x:c r="F13" s="16" t="n">
        <x:f>STDEV.S('Paired Seeds'!E35:E37)</x:f>
        <x:v>0.001497933601789847</x:v>
      </x:c>
      <x:c r="G13" s="16" t="n">
        <x:f>AVERAGE('Paired Seeds'!F35:F37)</x:f>
        <x:v>3.9278672536214194</x:v>
      </x:c>
      <x:c r="H13" s="16" t="n">
        <x:f>STDEV.S('Paired Seeds'!F35:F37)</x:f>
        <x:v>0.0016254663999542107</x:v>
      </x:c>
      <x:c r="I13" s="16" t="n">
        <x:f>AVERAGE('Paired Seeds'!G35:G37)</x:f>
        <x:v>0.0002868175506591797</x:v>
      </x:c>
      <x:c r="J13" s="16" t="n">
        <x:f>STDEV.S('Paired Seeds'!G35:G37)</x:f>
        <x:v>0.00025809667388069753</x:v>
      </x:c>
      <x:c r="K13" t="n">
        <x:f>SUM('Paired Seeds'!I35:I37)</x:f>
        <x:v>0</x:v>
      </x:c>
      <x:c r="L13" s="16" t="n">
        <x:f>AVERAGE('Paired Seeds'!H35:H37)</x:f>
        <x:v>-0.01262362798055013</x:v>
      </x:c>
      <x:c r="M13" s="16" t="n">
        <x:f>STDEV.S('Paired Seeds'!H35:H37)</x:f>
        <x:v>0.021229619904649877</x:v>
      </x:c>
      <x:c r="N13" t="n">
        <x:f>SUM('Paired Seeds'!J35:J37)</x:f>
        <x:v>2</x:v>
      </x:c>
      <x:c r="O13" s="17" t="n">
        <x:f>AVERAGE('Paired Seeds'!Q35:Q37)</x:f>
        <x:v>0.9433333333333332</x:v>
      </x:c>
      <x:c r="P13" s="17" t="n">
        <x:f>AVERAGE('Paired Seeds'!R35:R37)</x:f>
        <x:v>0.945</x:v>
      </x:c>
      <x:c r="Q13" s="17" t="n">
        <x:f>AVERAGE('Paired Seeds'!W35:W37)</x:f>
        <x:v>0.1907050670874425</x:v>
      </x:c>
      <x:c r="R13" s="17" t="n">
        <x:f>AVERAGE('Paired Seeds'!X35:X37)</x:f>
        <x:v>0.19252645593709694</x:v>
      </x:c>
      <x:c r="S13" t="n">
        <x:f>SUM('Paired Seeds'!AI35:AI37)</x:f>
        <x:v>0</x:v>
      </x:c>
      <x:c r="T13" t="n">
        <x:f>SUM('Paired Seeds'!AJ35:AJ37)</x:f>
        <x:v>0</x:v>
      </x:c>
      <x:c r="U13" t="n">
        <x:f>SUM('Paired Seeds'!AK35:AK37)</x:f>
        <x:v>0</x:v>
      </x:c>
      <x:c r="V13" s="17" t="n">
        <x:f>AVERAGE('Paired Seeds'!AA35:AA37)</x:f>
        <x:v>0.9716666666666667</x:v>
      </x:c>
      <x:c r="W13" s="17" t="n">
        <x:f>AVERAGE('Paired Seeds'!AB35:AB37)</x:f>
        <x:v>0.9716666666666667</x:v>
      </x:c>
      <x:c r="X13" s="17" t="n">
        <x:f>AVERAGE('Paired Seeds'!AC35:AC37)</x:f>
        <x:v>0.9716666666666667</x:v>
      </x:c>
      <x:c r="Y13" s="17" t="n">
        <x:f>AVERAGE('Paired Seeds'!AD35:AD37)</x:f>
        <x:v>0.9716666666666667</x:v>
      </x:c>
      <x:c r="Z13" s="17" t="n">
        <x:f>AVERAGE('Paired Seeds'!AE35:AE37)</x:f>
        <x:v>0.931496509784436</x:v>
      </x:c>
      <x:c r="AA13" s="17" t="n">
        <x:f>AVERAGE('Paired Seeds'!AF35:AF37)</x:f>
        <x:v>0.9314341814725919</x:v>
      </x:c>
      <x:c r="AB13" s="17" t="n">
        <x:f>AVERAGE('Paired Seeds'!AG35:AG37)</x:f>
        <x:v>0.931496509784436</x:v>
      </x:c>
      <x:c r="AC13" s="17" t="n">
        <x:f>AVERAGE('Paired Seeds'!AH35:AH37)</x:f>
        <x:v>0.9314341814725919</x:v>
      </x:c>
      <x:c r="AD13" s="17" t="n">
        <x:f>AVERAGE('Paired Seeds'!S35:S37)</x:f>
        <x:v>0.05641195421691</x:v>
      </x:c>
      <x:c r="AE13" s="17" t="n">
        <x:f>AVERAGE('Paired Seeds'!T35:T37)</x:f>
        <x:v>0.04818080206788333</x:v>
      </x:c>
    </x:row>
    <x:row r="14">
      <x:c r="A14" s="18" t="str">
        <x:v>ALL_12</x:v>
      </x:c>
      <x:c r="B14" s="18" t="n">
        <x:f>COUNT('Paired Seeds'!B2:B37)</x:f>
        <x:v>36</x:v>
      </x:c>
      <x:c r="C14" s="20" t="n">
        <x:f>AVERAGE('Paired Seeds'!D2:D37)</x:f>
        <x:v>2.6323224339220257</x:v>
      </x:c>
      <x:c r="D14" s="20" t="n">
        <x:f>STDEV.S('Paired Seeds'!D2:D37)</x:f>
        <x:v>1.1768126453163144</x:v>
      </x:c>
      <x:c r="E14" s="20" t="n">
        <x:f>AVERAGE('Paired Seeds'!E2:E37)</x:f>
        <x:v>2.640174979964892</x:v>
      </x:c>
      <x:c r="F14" s="20" t="n">
        <x:f>STDEV.S('Paired Seeds'!E2:E37)</x:f>
        <x:v>1.156433046238351</x:v>
      </x:c>
      <x:c r="G14" s="20" t="n">
        <x:f>AVERAGE('Paired Seeds'!F2:F37)</x:f>
        <x:v>2.6453094714217715</x:v>
      </x:c>
      <x:c r="H14" s="20" t="n">
        <x:f>STDEV.S('Paired Seeds'!F2:F37)</x:f>
        <x:v>1.1531964747745727</x:v>
      </x:c>
      <x:c r="I14" s="20" t="n">
        <x:f>AVERAGE('Paired Seeds'!G2:G37)</x:f>
        <x:v>0.00513449145687951</x:v>
      </x:c>
      <x:c r="J14" s="20" t="n">
        <x:f>STDEV.S('Paired Seeds'!G2:G37)</x:f>
        <x:v>0.048686370007642754</x:v>
      </x:c>
      <x:c r="K14" s="18" t="n">
        <x:f>SUM('Paired Seeds'!I2:I37)</x:f>
        <x:v>12</x:v>
      </x:c>
      <x:c r="L14" s="20" t="n">
        <x:f>AVERAGE('Paired Seeds'!H2:H37)</x:f>
        <x:v>0.012987037499745687</x:v>
      </x:c>
      <x:c r="M14" s="20" t="n">
        <x:f>STDEV.S('Paired Seeds'!H2:H37)</x:f>
        <x:v>0.057320113165266764</x:v>
      </x:c>
      <x:c r="N14" s="18" t="n">
        <x:f>SUM('Paired Seeds'!J2:J37)</x:f>
        <x:v>17</x:v>
      </x:c>
      <x:c r="O14" s="19" t="n">
        <x:f>AVERAGE('Paired Seeds'!Q2:Q37)</x:f>
        <x:v>0.9590972222222222</x:v>
      </x:c>
      <x:c r="P14" s="19" t="n">
        <x:f>AVERAGE('Paired Seeds'!R2:R37)</x:f>
        <x:v>0.9709837962962963</x:v>
      </x:c>
      <x:c r="Q14" s="19" t="n">
        <x:f>AVERAGE('Paired Seeds'!W2:W37)</x:f>
        <x:v>0.28496960799718596</x:v>
      </x:c>
      <x:c r="R14" s="19" t="n">
        <x:f>AVERAGE('Paired Seeds'!X2:X37)</x:f>
        <x:v>0.30416833919885866</x:v>
      </x:c>
      <x:c r="S14" s="18" t="n">
        <x:f>SUM('Paired Seeds'!AI2:AI37)</x:f>
        <x:v>3</x:v>
      </x:c>
      <x:c r="T14" s="18" t="n">
        <x:f>SUM('Paired Seeds'!AJ2:AJ37)</x:f>
        <x:v>0</x:v>
      </x:c>
      <x:c r="U14" s="18" t="n">
        <x:f>SUM('Paired Seeds'!AK2:AK37)</x:f>
        <x:v>3</x:v>
      </x:c>
      <x:c r="V14" s="19" t="n">
        <x:f>AVERAGE('Paired Seeds'!AA2:AA37)</x:f>
        <x:v>0.9631250000000002</x:v>
      </x:c>
      <x:c r="W14" s="19" t="n">
        <x:f>AVERAGE('Paired Seeds'!AB2:AB37)</x:f>
        <x:v>0.975787037037037</x:v>
      </x:c>
      <x:c r="X14" s="19" t="n">
        <x:f>AVERAGE('Paired Seeds'!AC2:AC37)</x:f>
        <x:v>0.9637268518518519</x:v>
      </x:c>
      <x:c r="Y14" s="19" t="n">
        <x:f>AVERAGE('Paired Seeds'!AD2:AD37)</x:f>
        <x:v>0.9760648148148149</x:v>
      </x:c>
      <x:c r="Z14" s="19" t="n">
        <x:f>AVERAGE('Paired Seeds'!AE2:AE37)</x:f>
        <x:v>0.9311777232054522</x:v>
      </x:c>
      <x:c r="AA14" s="19" t="n">
        <x:f>AVERAGE('Paired Seeds'!AF2:AF37)</x:f>
        <x:v>0.9455165104170583</x:v>
      </x:c>
      <x:c r="AB14" s="19" t="n">
        <x:f>AVERAGE('Paired Seeds'!AG2:AG37)</x:f>
        <x:v>0.9317506137828899</x:v>
      </x:c>
      <x:c r="AC14" s="19" t="n">
        <x:f>AVERAGE('Paired Seeds'!AH2:AH37)</x:f>
        <x:v>0.945366602559271</x:v>
      </x:c>
      <x:c r="AD14" s="19" t="n">
        <x:f>AVERAGE('Paired Seeds'!S2:S37)</x:f>
        <x:v>0.18999500704344416</x:v>
      </x:c>
      <x:c r="AE14" s="19" t="n">
        <x:f>AVERAGE('Paired Seeds'!T2:T37)</x:f>
        <x:v>0.19445736182154919</x:v>
      </x:c>
    </x:row>
  </x:sheetData>
  <x:conditionalFormatting sqref="I2:I14">
    <x:cfRule type="cellIs" dxfId="9" priority="1" operator="lessThan">
      <x:formula>0</x:formula>
    </x:cfRule>
    <x:cfRule type="cellIs" dxfId="10" priority="2" operator="greaterThan">
      <x:formula>0</x:formula>
    </x:cfRule>
  </x:conditionalFormatting>
  <x:conditionalFormatting sqref="L2:L14">
    <x:cfRule type="cellIs" dxfId="11" priority="3" operator="lessThan">
      <x:formula>0</x:formula>
    </x:cfRule>
    <x:cfRule type="cellIs" dxfId="12" priority="4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36" hidden="0" customWidth="1"/>
    <x:col min="22" max="22" width="36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</x:cols>
  <x:sheetData>
    <x:row r="1">
      <x:c r="A1" s="7" t="str">
        <x:v>dataset</x:v>
      </x:c>
      <x:c r="B1" s="15" t="str">
        <x:v>seed</x:v>
      </x:c>
      <x:c r="C1" s="15" t="str">
        <x:v>dirichlet_source</x:v>
      </x:c>
      <x:c r="D1" s="15" t="str">
        <x:v>pure_test_nll</x:v>
      </x:c>
      <x:c r="E1" s="15" t="str">
        <x:v>a1_test_nll</x:v>
      </x:c>
      <x:c r="F1" s="15" t="str">
        <x:v>a81_test_nll</x:v>
      </x:c>
      <x:c r="G1" s="15" t="str">
        <x:v>delta_a81_a1_test_nll</x:v>
      </x:c>
      <x:c r="H1" s="15" t="str">
        <x:v>delta_a81_pure_test_nll</x:v>
      </x:c>
      <x:c r="I1" s="15" t="str">
        <x:v>a81_win_vs_a1</x:v>
      </x:c>
      <x:c r="J1" s="15" t="str">
        <x:v>a81_win_vs_pure</x:v>
      </x:c>
      <x:c r="K1" s="15" t="str">
        <x:v>pure_purity</x:v>
      </x:c>
      <x:c r="L1" s="15" t="str">
        <x:v>pure_ari</x:v>
      </x:c>
      <x:c r="M1" s="15" t="str">
        <x:v>a1_best_cycle</x:v>
      </x:c>
      <x:c r="N1" s="15" t="str">
        <x:v>a81_best_cycle</x:v>
      </x:c>
      <x:c r="O1" s="15" t="str">
        <x:v>a1_validation_nll</x:v>
      </x:c>
      <x:c r="P1" s="15" t="str">
        <x:v>a81_validation_nll</x:v>
      </x:c>
      <x:c r="Q1" s="15" t="str">
        <x:v>a1_validation_purity</x:v>
      </x:c>
      <x:c r="R1" s="15" t="str">
        <x:v>a81_validation_purity</x:v>
      </x:c>
      <x:c r="S1" s="15" t="str">
        <x:v>a1_alpha</x:v>
      </x:c>
      <x:c r="T1" s="15" t="str">
        <x:v>a81_alpha</x:v>
      </x:c>
      <x:c r="U1" s="15" t="str">
        <x:v>a1_weights</x:v>
      </x:c>
      <x:c r="V1" s="15" t="str">
        <x:v>a81_weights</x:v>
      </x:c>
      <x:c r="W1" s="15" t="str">
        <x:v>a1_min_weight</x:v>
      </x:c>
      <x:c r="X1" s="15" t="str">
        <x:v>a81_min_weight</x:v>
      </x:c>
      <x:c r="Y1" s="15" t="str">
        <x:v>a1_responsibility_min_mass</x:v>
      </x:c>
      <x:c r="Z1" s="15" t="str">
        <x:v>a81_responsibility_min_mass</x:v>
      </x:c>
      <x:c r="AA1" s="15" t="str">
        <x:v>a1_prior_purity</x:v>
      </x:c>
      <x:c r="AB1" s="15" t="str">
        <x:v>a81_prior_purity</x:v>
      </x:c>
      <x:c r="AC1" s="15" t="str">
        <x:v>a1_posterior_purity</x:v>
      </x:c>
      <x:c r="AD1" s="15" t="str">
        <x:v>a81_posterior_purity</x:v>
      </x:c>
      <x:c r="AE1" s="15" t="str">
        <x:v>a1_prior_ari</x:v>
      </x:c>
      <x:c r="AF1" s="15" t="str">
        <x:v>a81_prior_ari</x:v>
      </x:c>
      <x:c r="AG1" s="15" t="str">
        <x:v>a1_posterior_ari</x:v>
      </x:c>
      <x:c r="AH1" s="15" t="str">
        <x:v>a81_posterior_ari</x:v>
      </x:c>
      <x:c r="AI1" s="15" t="str">
        <x:v>a1_near_collapse</x:v>
      </x:c>
      <x:c r="AJ1" s="15" t="str">
        <x:v>a81_near_collapse</x:v>
      </x:c>
      <x:c r="AK1" s="15" t="str">
        <x:v>near_collapse_prevented</x:v>
      </x:c>
      <x:c r="AL1" s="15" t="str">
        <x:v>near_collapse_introduced</x:v>
      </x:c>
      <x:c r="AM1" s="15" t="str">
        <x:v>a1_validation_purity_below_0_90</x:v>
      </x:c>
      <x:c r="AN1" s="15" t="str">
        <x:v>a81_validation_purity_below_0_90</x:v>
      </x:c>
      <x:c r="AO1" s="15" t="str">
        <x:v>delta_validation_purity</x:v>
      </x:c>
      <x:c r="AP1" s="15" t="str">
        <x:v>delta_prior_purity</x:v>
      </x:c>
      <x:c r="AQ1" s="15" t="str">
        <x:v>delta_posterior_purity</x:v>
      </x:c>
      <x:c r="AR1" s="15" t="str">
        <x:v>a81_validation_purity_win</x:v>
      </x:c>
      <x:c r="AS1" s="15" t="str">
        <x:v>a81_prior_purity_win</x:v>
      </x:c>
      <x:c r="AT1" s="8" t="str">
        <x:v>a81_posterior_purity_win</x:v>
      </x:c>
    </x:row>
    <x:row r="2">
      <x:c r="A2" t="str">
        <x:v>K2_C5</x:v>
      </x:c>
      <x:c r="B2" t="n">
        <x:v>0</x:v>
      </x:c>
      <x:c r="C2" t="str">
        <x:v>phase_c_new</x:v>
      </x:c>
      <x:c r="D2" s="16" t="n">
        <x:v>1.975287675857544</x:v>
      </x:c>
      <x:c r="E2" s="16" t="n">
        <x:v>1.9879248142242432</x:v>
      </x:c>
      <x:c r="F2" s="16" t="n">
        <x:v>1.986150860786438</x:v>
      </x:c>
      <x:c r="G2" s="16" t="n">
        <x:f>F2-E2</x:f>
        <x:v>-0.0017739534378051758</x:v>
      </x:c>
      <x:c r="H2" s="16" t="n">
        <x:f>F2-D2</x:f>
        <x:v>0.010863184928894043</x:v>
      </x:c>
      <x:c r="I2" t="n">
        <x:f>IF(F2&lt;E2,1,0)</x:f>
        <x:v>1</x:v>
      </x:c>
      <x:c r="J2" t="n">
        <x:f>IF(F2&lt;D2,1,0)</x:f>
        <x:v>0</x:v>
      </x:c>
      <x:c r="K2" s="17" t="n">
        <x:v>1</x:v>
      </x:c>
      <x:c r="L2" s="17" t="n">
        <x:v>1</x:v>
      </x:c>
      <x:c r="M2" t="n">
        <x:v>67</x:v>
      </x:c>
      <x:c r="N2" t="n">
        <x:v>66</x:v>
      </x:c>
      <x:c r="O2" s="16" t="n">
        <x:v>2.029184579849243</x:v>
      </x:c>
      <x:c r="P2" s="16" t="n">
        <x:v>2.019740104675293</x:v>
      </x:c>
      <x:c r="Q2" s="16" t="n">
        <x:v>1</x:v>
      </x:c>
      <x:c r="R2" s="16" t="n">
        <x:v>1</x:v>
      </x:c>
      <x:c r="S2" s="16" t="n">
        <x:v>0.17870054235552</x:v>
      </x:c>
      <x:c r="T2" s="16" t="n">
        <x:v>0.19280322390852</x:v>
      </x:c>
      <x:c r="U2" t="str">
        <x:v>[0.5015625274373775,0.4984374958143576]</x:v>
      </x:c>
      <x:c r="V2" t="str">
        <x:v>[0.5012500379324406,0.4987499858611743]</x:v>
      </x:c>
      <x:c r="W2" s="16" t="n">
        <x:v>0.4984374958143576</x:v>
      </x:c>
      <x:c r="X2" s="16" t="n">
        <x:v>0.4987499858611743</x:v>
      </x:c>
      <x:c r="Y2" s="16" t="n">
        <x:v>319</x:v>
      </x:c>
      <x:c r="Z2" s="16" t="n">
        <x:v>319</x:v>
      </x:c>
      <x:c r="AA2" s="16" t="n">
        <x:v>1</x:v>
      </x:c>
      <x:c r="AB2" s="16" t="n">
        <x:v>1</x:v>
      </x:c>
      <x:c r="AC2" s="16" t="n">
        <x:v>1</x:v>
      </x:c>
      <x:c r="AD2" s="16" t="n">
        <x:v>1</x:v>
      </x:c>
      <x:c r="AE2" s="16" t="n">
        <x:v>1</x:v>
      </x:c>
      <x:c r="AF2" s="16" t="n">
        <x:v>1</x:v>
      </x:c>
      <x:c r="AG2" s="16" t="n">
        <x:v>1</x:v>
      </x:c>
      <x:c r="AH2" s="16" t="n">
        <x:v>1</x:v>
      </x:c>
      <x:c r="AI2" t="n">
        <x:f>IF(W2&lt;'Protocol'!$B$8,1,0)</x:f>
        <x:v>0</x:v>
      </x:c>
      <x:c r="AJ2" t="n">
        <x:f>IF(X2&lt;'Protocol'!$B$8,1,0)</x:f>
        <x:v>0</x:v>
      </x:c>
      <x:c r="AK2" t="n">
        <x:f>IF(AND(AI2=1,AJ2=0),1,0)</x:f>
        <x:v>0</x:v>
      </x:c>
      <x:c r="AL2" t="n">
        <x:f>IF(AND(AJ2=1,AI2=0),1,0)</x:f>
        <x:v>0</x:v>
      </x:c>
      <x:c r="AM2" t="n">
        <x:f>IF(Q2&lt;'Protocol'!$B$9,1,0)</x:f>
        <x:v>0</x:v>
      </x:c>
      <x:c r="AN2" t="n">
        <x:f>IF(R2&lt;'Protocol'!$B$9,1,0)</x:f>
        <x:v>0</x:v>
      </x:c>
      <x:c r="AO2" t="n">
        <x:f>R2-Q2</x:f>
        <x:v>0</x:v>
      </x:c>
      <x:c r="AP2" t="n">
        <x:f>AB2-AA2</x:f>
        <x:v>0</x:v>
      </x:c>
      <x:c r="AQ2" t="n">
        <x:f>AD2-AC2</x:f>
        <x:v>0</x:v>
      </x:c>
      <x:c r="AR2" t="n">
        <x:f>IF(AO2&gt;0,1,0)</x:f>
        <x:v>0</x:v>
      </x:c>
      <x:c r="AS2" t="n">
        <x:f>IF(AP2&gt;0,1,0)</x:f>
        <x:v>0</x:v>
      </x:c>
      <x:c r="AT2" t="n">
        <x:f>IF(AQ2&gt;0,1,0)</x:f>
        <x:v>0</x:v>
      </x:c>
    </x:row>
    <x:row r="3">
      <x:c r="A3" t="str">
        <x:v>K2_C5</x:v>
      </x:c>
      <x:c r="B3" t="n">
        <x:v>1</x:v>
      </x:c>
      <x:c r="C3" t="str">
        <x:v>phase_c_new</x:v>
      </x:c>
      <x:c r="D3" s="16" t="n">
        <x:v>1.9867238998413086</x:v>
      </x:c>
      <x:c r="E3" s="16" t="n">
        <x:v>1.9778409004211426</x:v>
      </x:c>
      <x:c r="F3" s="16" t="n">
        <x:v>1.9848426580429077</x:v>
      </x:c>
      <x:c r="G3" s="16" t="n">
        <x:f>F3-E3</x:f>
        <x:v>0.007001757621765137</x:v>
      </x:c>
      <x:c r="H3" s="16" t="n">
        <x:f>F3-D3</x:f>
        <x:v>-0.001881241798400879</x:v>
      </x:c>
      <x:c r="I3" t="n">
        <x:f>IF(F3&lt;E3,1,0)</x:f>
        <x:v>0</x:v>
      </x:c>
      <x:c r="J3" t="n">
        <x:f>IF(F3&lt;D3,1,0)</x:f>
        <x:v>1</x:v>
      </x:c>
      <x:c r="K3" s="17" t="n">
        <x:v>1</x:v>
      </x:c>
      <x:c r="L3" s="17" t="n">
        <x:v>1</x:v>
      </x:c>
      <x:c r="M3" t="n">
        <x:v>75</x:v>
      </x:c>
      <x:c r="N3" t="n">
        <x:v>71</x:v>
      </x:c>
      <x:c r="O3" s="16" t="n">
        <x:v>2.011235237121582</x:v>
      </x:c>
      <x:c r="P3" s="16" t="n">
        <x:v>2.0236783027648926</x:v>
      </x:c>
      <x:c r="Q3" s="16" t="n">
        <x:v>1</x:v>
      </x:c>
      <x:c r="R3" s="16" t="n">
        <x:v>1</x:v>
      </x:c>
      <x:c r="S3" s="16" t="n">
        <x:v>0.17740733775552</x:v>
      </x:c>
      <x:c r="T3" s="16" t="n">
        <x:v>0.17688812694038</x:v>
      </x:c>
      <x:c r="U3" t="str">
        <x:v>[0.5015625274373775,0.4984374958143576]</x:v>
      </x:c>
      <x:c r="V3" t="str">
        <x:v>[0.5012500379324406,0.4987499858611743]</x:v>
      </x:c>
      <x:c r="W3" s="16" t="n">
        <x:v>0.4984374958143576</x:v>
      </x:c>
      <x:c r="X3" s="16" t="n">
        <x:v>0.4987499858611743</x:v>
      </x:c>
      <x:c r="Y3" s="16" t="n">
        <x:v>319</x:v>
      </x:c>
      <x:c r="Z3" s="16" t="n">
        <x:v>319</x:v>
      </x:c>
      <x:c r="AA3" s="16" t="n">
        <x:v>1</x:v>
      </x:c>
      <x:c r="AB3" s="16" t="n">
        <x:v>1</x:v>
      </x:c>
      <x:c r="AC3" s="16" t="n">
        <x:v>1</x:v>
      </x:c>
      <x:c r="AD3" s="16" t="n">
        <x:v>1</x:v>
      </x:c>
      <x:c r="AE3" s="16" t="n">
        <x:v>1</x:v>
      </x:c>
      <x:c r="AF3" s="16" t="n">
        <x:v>1</x:v>
      </x:c>
      <x:c r="AG3" s="16" t="n">
        <x:v>1</x:v>
      </x:c>
      <x:c r="AH3" s="16" t="n">
        <x:v>1</x:v>
      </x:c>
      <x:c r="AI3" t="n">
        <x:f>IF(W3&lt;'Protocol'!$B$8,1,0)</x:f>
        <x:v>0</x:v>
      </x:c>
      <x:c r="AJ3" t="n">
        <x:f>IF(X3&lt;'Protocol'!$B$8,1,0)</x:f>
        <x:v>0</x:v>
      </x:c>
      <x:c r="AK3" t="n">
        <x:f>IF(AND(AI3=1,AJ3=0),1,0)</x:f>
        <x:v>0</x:v>
      </x:c>
      <x:c r="AL3" t="n">
        <x:f>IF(AND(AJ3=1,AI3=0),1,0)</x:f>
        <x:v>0</x:v>
      </x:c>
      <x:c r="AM3" t="n">
        <x:f>IF(Q3&lt;'Protocol'!$B$9,1,0)</x:f>
        <x:v>0</x:v>
      </x:c>
      <x:c r="AN3" t="n">
        <x:f>IF(R3&lt;'Protocol'!$B$9,1,0)</x:f>
        <x:v>0</x:v>
      </x:c>
      <x:c r="AO3" t="n">
        <x:f>R3-Q3</x:f>
        <x:v>0</x:v>
      </x:c>
      <x:c r="AP3" t="n">
        <x:f>AB3-AA3</x:f>
        <x:v>0</x:v>
      </x:c>
      <x:c r="AQ3" t="n">
        <x:f>AD3-AC3</x:f>
        <x:v>0</x:v>
      </x:c>
      <x:c r="AR3" t="n">
        <x:f>IF(AO3&gt;0,1,0)</x:f>
        <x:v>0</x:v>
      </x:c>
      <x:c r="AS3" t="n">
        <x:f>IF(AP3&gt;0,1,0)</x:f>
        <x:v>0</x:v>
      </x:c>
      <x:c r="AT3" t="n">
        <x:f>IF(AQ3&gt;0,1,0)</x:f>
        <x:v>0</x:v>
      </x:c>
    </x:row>
    <x:row r="4">
      <x:c r="A4" t="str">
        <x:v>K2_C5</x:v>
      </x:c>
      <x:c r="B4" t="n">
        <x:v>2</x:v>
      </x:c>
      <x:c r="C4" t="str">
        <x:v>phase_c_new</x:v>
      </x:c>
      <x:c r="D4" s="16" t="n">
        <x:v>1.9806567430496216</x:v>
      </x:c>
      <x:c r="E4" s="16" t="n">
        <x:v>1.9706695079803467</x:v>
      </x:c>
      <x:c r="F4" s="16" t="n">
        <x:v>1.9951368570327759</x:v>
      </x:c>
      <x:c r="G4" s="16" t="n">
        <x:f>F4-E4</x:f>
        <x:v>0.0244673490524292</x:v>
      </x:c>
      <x:c r="H4" s="16" t="n">
        <x:f>F4-D4</x:f>
        <x:v>0.014480113983154297</x:v>
      </x:c>
      <x:c r="I4" t="n">
        <x:f>IF(F4&lt;E4,1,0)</x:f>
        <x:v>0</x:v>
      </x:c>
      <x:c r="J4" t="n">
        <x:f>IF(F4&lt;D4,1,0)</x:f>
        <x:v>0</x:v>
      </x:c>
      <x:c r="K4" s="17" t="n">
        <x:v>1</x:v>
      </x:c>
      <x:c r="L4" s="17" t="n">
        <x:v>1</x:v>
      </x:c>
      <x:c r="M4" t="n">
        <x:v>56</x:v>
      </x:c>
      <x:c r="N4" t="n">
        <x:v>72</x:v>
      </x:c>
      <x:c r="O4" s="16" t="n">
        <x:v>2.023033618927002</x:v>
      </x:c>
      <x:c r="P4" s="16" t="n">
        <x:v>2.0260086059570312</x:v>
      </x:c>
      <x:c r="Q4" s="16" t="n">
        <x:v>1</x:v>
      </x:c>
      <x:c r="R4" s="16" t="n">
        <x:v>1</x:v>
      </x:c>
      <x:c r="S4" s="16" t="n">
        <x:v>0.15449736209655</x:v>
      </x:c>
      <x:c r="T4" s="16" t="n">
        <x:v>0.12583889513676</x:v>
      </x:c>
      <x:c r="U4" t="str">
        <x:v>[0.5015625274373775,0.4984374958143576]</x:v>
      </x:c>
      <x:c r="V4" t="str">
        <x:v>[0.5012500379324406,0.4987499858611743]</x:v>
      </x:c>
      <x:c r="W4" s="16" t="n">
        <x:v>0.4984374958143576</x:v>
      </x:c>
      <x:c r="X4" s="16" t="n">
        <x:v>0.4987499858611743</x:v>
      </x:c>
      <x:c r="Y4" s="16" t="n">
        <x:v>319</x:v>
      </x:c>
      <x:c r="Z4" s="16" t="n">
        <x:v>319</x:v>
      </x:c>
      <x:c r="AA4" s="16" t="n">
        <x:v>1</x:v>
      </x:c>
      <x:c r="AB4" s="16" t="n">
        <x:v>1</x:v>
      </x:c>
      <x:c r="AC4" s="16" t="n">
        <x:v>1</x:v>
      </x:c>
      <x:c r="AD4" s="16" t="n">
        <x:v>1</x:v>
      </x:c>
      <x:c r="AE4" s="16" t="n">
        <x:v>1</x:v>
      </x:c>
      <x:c r="AF4" s="16" t="n">
        <x:v>1</x:v>
      </x:c>
      <x:c r="AG4" s="16" t="n">
        <x:v>1</x:v>
      </x:c>
      <x:c r="AH4" s="16" t="n">
        <x:v>1</x:v>
      </x:c>
      <x:c r="AI4" t="n">
        <x:f>IF(W4&lt;'Protocol'!$B$8,1,0)</x:f>
        <x:v>0</x:v>
      </x:c>
      <x:c r="AJ4" t="n">
        <x:f>IF(X4&lt;'Protocol'!$B$8,1,0)</x:f>
        <x:v>0</x:v>
      </x:c>
      <x:c r="AK4" t="n">
        <x:f>IF(AND(AI4=1,AJ4=0),1,0)</x:f>
        <x:v>0</x:v>
      </x:c>
      <x:c r="AL4" t="n">
        <x:f>IF(AND(AJ4=1,AI4=0),1,0)</x:f>
        <x:v>0</x:v>
      </x:c>
      <x:c r="AM4" t="n">
        <x:f>IF(Q4&lt;'Protocol'!$B$9,1,0)</x:f>
        <x:v>0</x:v>
      </x:c>
      <x:c r="AN4" t="n">
        <x:f>IF(R4&lt;'Protocol'!$B$9,1,0)</x:f>
        <x:v>0</x:v>
      </x:c>
      <x:c r="AO4" t="n">
        <x:f>R4-Q4</x:f>
        <x:v>0</x:v>
      </x:c>
      <x:c r="AP4" t="n">
        <x:f>AB4-AA4</x:f>
        <x:v>0</x:v>
      </x:c>
      <x:c r="AQ4" t="n">
        <x:f>AD4-AC4</x:f>
        <x:v>0</x:v>
      </x:c>
      <x:c r="AR4" t="n">
        <x:f>IF(AO4&gt;0,1,0)</x:f>
        <x:v>0</x:v>
      </x:c>
      <x:c r="AS4" t="n">
        <x:f>IF(AP4&gt;0,1,0)</x:f>
        <x:v>0</x:v>
      </x:c>
      <x:c r="AT4" t="n">
        <x:f>IF(AQ4&gt;0,1,0)</x:f>
        <x:v>0</x:v>
      </x:c>
    </x:row>
    <x:row r="5">
      <x:c r="A5" t="str">
        <x:v>K3_C5</x:v>
      </x:c>
      <x:c r="B5" t="n">
        <x:v>0</x:v>
      </x:c>
      <x:c r="C5" t="str">
        <x:v>phase_c_new</x:v>
      </x:c>
      <x:c r="D5" s="16" t="n">
        <x:v>1.9894237518310547</x:v>
      </x:c>
      <x:c r="E5" s="16" t="n">
        <x:v>1.9936038255691528</x:v>
      </x:c>
      <x:c r="F5" s="16" t="n">
        <x:v>2.00909686088562</x:v>
      </x:c>
      <x:c r="G5" s="16" t="n">
        <x:f>F5-E5</x:f>
        <x:v>0.015493035316467285</x:v>
      </x:c>
      <x:c r="H5" s="16" t="n">
        <x:f>F5-D5</x:f>
        <x:v>0.01967310905456543</x:v>
      </x:c>
      <x:c r="I5" t="n">
        <x:f>IF(F5&lt;E5,1,0)</x:f>
        <x:v>0</x:v>
      </x:c>
      <x:c r="J5" t="n">
        <x:f>IF(F5&lt;D5,1,0)</x:f>
        <x:v>0</x:v>
      </x:c>
      <x:c r="K5" s="17" t="n">
        <x:v>1</x:v>
      </x:c>
      <x:c r="L5" s="17" t="n">
        <x:v>1</x:v>
      </x:c>
      <x:c r="M5" t="n">
        <x:v>70</x:v>
      </x:c>
      <x:c r="N5" t="n">
        <x:v>75</x:v>
      </x:c>
      <x:c r="O5" s="16" t="n">
        <x:v>1.9452223777770996</x:v>
      </x:c>
      <x:c r="P5" s="16" t="n">
        <x:v>1.953292965888977</x:v>
      </x:c>
      <x:c r="Q5" s="16" t="n">
        <x:v>1</x:v>
      </x:c>
      <x:c r="R5" s="16" t="n">
        <x:v>1</x:v>
      </x:c>
      <x:c r="S5" s="16" t="n">
        <x:v>0.19733426244637</x:v>
      </x:c>
      <x:c r="T5" s="16" t="n">
        <x:v>0.22543266224202</x:v>
      </x:c>
      <x:c r="U5" t="str">
        <x:v>[0.33125000629844176,0.3260416834461237,0.3427083361510681]</x:v>
      </x:c>
      <x:c r="V5" t="str">
        <x:v>[0.3316666303734254,0.32750000642625826,0.34083338198852714]</x:v>
      </x:c>
      <x:c r="W5" s="16" t="n">
        <x:v>0.3260416834461237</x:v>
      </x:c>
      <x:c r="X5" s="16" t="n">
        <x:v>0.32750000642625826</x:v>
      </x:c>
      <x:c r="Y5" s="16" t="n">
        <x:v>313</x:v>
      </x:c>
      <x:c r="Z5" s="16" t="n">
        <x:v>313</x:v>
      </x:c>
      <x:c r="AA5" s="16" t="n">
        <x:v>1</x:v>
      </x:c>
      <x:c r="AB5" s="16" t="n">
        <x:v>1</x:v>
      </x:c>
      <x:c r="AC5" s="16" t="n">
        <x:v>1</x:v>
      </x:c>
      <x:c r="AD5" s="16" t="n">
        <x:v>1</x:v>
      </x:c>
      <x:c r="AE5" s="16" t="n">
        <x:v>1</x:v>
      </x:c>
      <x:c r="AF5" s="16" t="n">
        <x:v>1</x:v>
      </x:c>
      <x:c r="AG5" s="16" t="n">
        <x:v>1</x:v>
      </x:c>
      <x:c r="AH5" s="16" t="n">
        <x:v>1</x:v>
      </x:c>
      <x:c r="AI5" t="n">
        <x:f>IF(W5&lt;'Protocol'!$B$8,1,0)</x:f>
        <x:v>0</x:v>
      </x:c>
      <x:c r="AJ5" t="n">
        <x:f>IF(X5&lt;'Protocol'!$B$8,1,0)</x:f>
        <x:v>0</x:v>
      </x:c>
      <x:c r="AK5" t="n">
        <x:f>IF(AND(AI5=1,AJ5=0),1,0)</x:f>
        <x:v>0</x:v>
      </x:c>
      <x:c r="AL5" t="n">
        <x:f>IF(AND(AJ5=1,AI5=0),1,0)</x:f>
        <x:v>0</x:v>
      </x:c>
      <x:c r="AM5" t="n">
        <x:f>IF(Q5&lt;'Protocol'!$B$9,1,0)</x:f>
        <x:v>0</x:v>
      </x:c>
      <x:c r="AN5" t="n">
        <x:f>IF(R5&lt;'Protocol'!$B$9,1,0)</x:f>
        <x:v>0</x:v>
      </x:c>
      <x:c r="AO5" t="n">
        <x:f>R5-Q5</x:f>
        <x:v>0</x:v>
      </x:c>
      <x:c r="AP5" t="n">
        <x:f>AB5-AA5</x:f>
        <x:v>0</x:v>
      </x:c>
      <x:c r="AQ5" t="n">
        <x:f>AD5-AC5</x:f>
        <x:v>0</x:v>
      </x:c>
      <x:c r="AR5" t="n">
        <x:f>IF(AO5&gt;0,1,0)</x:f>
        <x:v>0</x:v>
      </x:c>
      <x:c r="AS5" t="n">
        <x:f>IF(AP5&gt;0,1,0)</x:f>
        <x:v>0</x:v>
      </x:c>
      <x:c r="AT5" t="n">
        <x:f>IF(AQ5&gt;0,1,0)</x:f>
        <x:v>0</x:v>
      </x:c>
    </x:row>
    <x:row r="6">
      <x:c r="A6" t="str">
        <x:v>K3_C5</x:v>
      </x:c>
      <x:c r="B6" t="n">
        <x:v>1</x:v>
      </x:c>
      <x:c r="C6" t="str">
        <x:v>phase_c_new</x:v>
      </x:c>
      <x:c r="D6" s="16" t="n">
        <x:v>1.9863024950027466</x:v>
      </x:c>
      <x:c r="E6" s="16" t="n">
        <x:v>2.024606227874756</x:v>
      </x:c>
      <x:c r="F6" s="16" t="n">
        <x:v>2.1705667972564697</x:v>
      </x:c>
      <x:c r="G6" s="16" t="n">
        <x:f>F6-E6</x:f>
        <x:v>0.14596056938171387</x:v>
      </x:c>
      <x:c r="H6" s="16" t="n">
        <x:f>F6-D6</x:f>
        <x:v>0.18426430225372314</x:v>
      </x:c>
      <x:c r="I6" t="n">
        <x:f>IF(F6&lt;E6,1,0)</x:f>
        <x:v>0</x:v>
      </x:c>
      <x:c r="J6" t="n">
        <x:f>IF(F6&lt;D6,1,0)</x:f>
        <x:v>0</x:v>
      </x:c>
      <x:c r="K6" s="17" t="n">
        <x:v>1</x:v>
      </x:c>
      <x:c r="L6" s="17" t="n">
        <x:v>1</x:v>
      </x:c>
      <x:c r="M6" t="n">
        <x:v>73</x:v>
      </x:c>
      <x:c r="N6" t="n">
        <x:v>75</x:v>
      </x:c>
      <x:c r="O6" s="16" t="n">
        <x:v>1.964041829109192</x:v>
      </x:c>
      <x:c r="P6" s="16" t="n">
        <x:v>2.105034112930298</x:v>
      </x:c>
      <x:c r="Q6" s="16" t="n">
        <x:v>1</x:v>
      </x:c>
      <x:c r="R6" s="16" t="n">
        <x:v>1</x:v>
      </x:c>
      <x:c r="S6" s="16" t="n">
        <x:v>0.25306235244721</x:v>
      </x:c>
      <x:c r="T6" s="16" t="n">
        <x:v>0.34856853999273</x:v>
      </x:c>
      <x:c r="U6" t="str">
        <x:v>[0.3260416445789286,0.3427083361510681,0.331250045786522]</x:v>
      </x:c>
      <x:c r="V6" t="str">
        <x:v>[0.3269732592830682,0.3413599533778736,0.3316667885244366]</x:v>
      </x:c>
      <x:c r="W6" s="16" t="n">
        <x:v>0.3260416445789286</x:v>
      </x:c>
      <x:c r="X6" s="16" t="n">
        <x:v>0.3269732592830682</x:v>
      </x:c>
      <x:c r="Y6" s="16" t="n">
        <x:v>312.9999694824219</x:v>
      </x:c>
      <x:c r="Z6" s="16" t="n">
        <x:v>312.367919921875</x:v>
      </x:c>
      <x:c r="AA6" s="16" t="n">
        <x:v>1</x:v>
      </x:c>
      <x:c r="AB6" s="16" t="n">
        <x:v>1</x:v>
      </x:c>
      <x:c r="AC6" s="16" t="n">
        <x:v>1</x:v>
      </x:c>
      <x:c r="AD6" s="16" t="n">
        <x:v>1</x:v>
      </x:c>
      <x:c r="AE6" s="16" t="n">
        <x:v>1</x:v>
      </x:c>
      <x:c r="AF6" s="16" t="n">
        <x:v>1</x:v>
      </x:c>
      <x:c r="AG6" s="16" t="n">
        <x:v>1</x:v>
      </x:c>
      <x:c r="AH6" s="16" t="n">
        <x:v>1</x:v>
      </x:c>
      <x:c r="AI6" t="n">
        <x:f>IF(W6&lt;'Protocol'!$B$8,1,0)</x:f>
        <x:v>0</x:v>
      </x:c>
      <x:c r="AJ6" t="n">
        <x:f>IF(X6&lt;'Protocol'!$B$8,1,0)</x:f>
        <x:v>0</x:v>
      </x:c>
      <x:c r="AK6" t="n">
        <x:f>IF(AND(AI6=1,AJ6=0),1,0)</x:f>
        <x:v>0</x:v>
      </x:c>
      <x:c r="AL6" t="n">
        <x:f>IF(AND(AJ6=1,AI6=0),1,0)</x:f>
        <x:v>0</x:v>
      </x:c>
      <x:c r="AM6" t="n">
        <x:f>IF(Q6&lt;'Protocol'!$B$9,1,0)</x:f>
        <x:v>0</x:v>
      </x:c>
      <x:c r="AN6" t="n">
        <x:f>IF(R6&lt;'Protocol'!$B$9,1,0)</x:f>
        <x:v>0</x:v>
      </x:c>
      <x:c r="AO6" t="n">
        <x:f>R6-Q6</x:f>
        <x:v>0</x:v>
      </x:c>
      <x:c r="AP6" t="n">
        <x:f>AB6-AA6</x:f>
        <x:v>0</x:v>
      </x:c>
      <x:c r="AQ6" t="n">
        <x:f>AD6-AC6</x:f>
        <x:v>0</x:v>
      </x:c>
      <x:c r="AR6" t="n">
        <x:f>IF(AO6&gt;0,1,0)</x:f>
        <x:v>0</x:v>
      </x:c>
      <x:c r="AS6" t="n">
        <x:f>IF(AP6&gt;0,1,0)</x:f>
        <x:v>0</x:v>
      </x:c>
      <x:c r="AT6" t="n">
        <x:f>IF(AQ6&gt;0,1,0)</x:f>
        <x:v>0</x:v>
      </x:c>
    </x:row>
    <x:row r="7">
      <x:c r="A7" t="str">
        <x:v>K3_C5</x:v>
      </x:c>
      <x:c r="B7" t="n">
        <x:v>2</x:v>
      </x:c>
      <x:c r="C7" t="str">
        <x:v>phase_c_new</x:v>
      </x:c>
      <x:c r="D7" s="16" t="n">
        <x:v>1.9866740703582764</x:v>
      </x:c>
      <x:c r="E7" s="16" t="n">
        <x:v>2.0820231437683105</x:v>
      </x:c>
      <x:c r="F7" s="16" t="n">
        <x:v>2.051243782043457</x:v>
      </x:c>
      <x:c r="G7" s="16" t="n">
        <x:f>F7-E7</x:f>
        <x:v>-0.030779361724853516</x:v>
      </x:c>
      <x:c r="H7" s="16" t="n">
        <x:f>F7-D7</x:f>
        <x:v>0.06456971168518066</x:v>
      </x:c>
      <x:c r="I7" t="n">
        <x:f>IF(F7&lt;E7,1,0)</x:f>
        <x:v>1</x:v>
      </x:c>
      <x:c r="J7" t="n">
        <x:f>IF(F7&lt;D7,1,0)</x:f>
        <x:v>0</x:v>
      </x:c>
      <x:c r="K7" s="17" t="n">
        <x:v>1</x:v>
      </x:c>
      <x:c r="L7" s="17" t="n">
        <x:v>1</x:v>
      </x:c>
      <x:c r="M7" t="n">
        <x:v>75</x:v>
      </x:c>
      <x:c r="N7" t="n">
        <x:v>70</x:v>
      </x:c>
      <x:c r="O7" s="16" t="n">
        <x:v>2.0164170265197754</x:v>
      </x:c>
      <x:c r="P7" s="16" t="n">
        <x:v>1.9931702613830566</x:v>
      </x:c>
      <x:c r="Q7" s="16" t="n">
        <x:v>1</x:v>
      </x:c>
      <x:c r="R7" s="16" t="n">
        <x:v>1</x:v>
      </x:c>
      <x:c r="S7" s="16" t="n">
        <x:v>0.21726118713723</x:v>
      </x:c>
      <x:c r="T7" s="16" t="n">
        <x:v>0.22607444210418</x:v>
      </x:c>
      <x:c r="U7" t="str">
        <x:v>[0.3307531060005877,0.34320715868975393,0.3260397789590111]</x:v>
      </x:c>
      <x:c r="V7" t="str">
        <x:v>[0.325957857678937,0.3465421594828869,0.32750000642625826]</x:v>
      </x:c>
      <x:c r="W7" s="16" t="n">
        <x:v>0.3260397789590111</x:v>
      </x:c>
      <x:c r="X7" s="16" t="n">
        <x:v>0.325957857678937</x:v>
      </x:c>
      <x:c r="Y7" s="16" t="n">
        <x:v>312.9981689453125</x:v>
      </x:c>
      <x:c r="Z7" s="16" t="n">
        <x:v>311.1494140625</x:v>
      </x:c>
      <x:c r="AA7" s="16" t="n">
        <x:v>1</x:v>
      </x:c>
      <x:c r="AB7" s="16" t="n">
        <x:v>0.9833333333333333</x:v>
      </x:c>
      <x:c r="AC7" s="16" t="n">
        <x:v>1</x:v>
      </x:c>
      <x:c r="AD7" s="16" t="n">
        <x:v>0.9833333333333333</x:v>
      </x:c>
      <x:c r="AE7" s="16" t="n">
        <x:v>1</x:v>
      </x:c>
      <x:c r="AF7" s="16" t="n">
        <x:v>0.9524687365444585</x:v>
      </x:c>
      <x:c r="AG7" s="16" t="n">
        <x:v>1</x:v>
      </x:c>
      <x:c r="AH7" s="16" t="n">
        <x:v>0.9524687365444585</x:v>
      </x:c>
      <x:c r="AI7" t="n">
        <x:f>IF(W7&lt;'Protocol'!$B$8,1,0)</x:f>
        <x:v>0</x:v>
      </x:c>
      <x:c r="AJ7" t="n">
        <x:f>IF(X7&lt;'Protocol'!$B$8,1,0)</x:f>
        <x:v>0</x:v>
      </x:c>
      <x:c r="AK7" t="n">
        <x:f>IF(AND(AI7=1,AJ7=0),1,0)</x:f>
        <x:v>0</x:v>
      </x:c>
      <x:c r="AL7" t="n">
        <x:f>IF(AND(AJ7=1,AI7=0),1,0)</x:f>
        <x:v>0</x:v>
      </x:c>
      <x:c r="AM7" t="n">
        <x:f>IF(Q7&lt;'Protocol'!$B$9,1,0)</x:f>
        <x:v>0</x:v>
      </x:c>
      <x:c r="AN7" t="n">
        <x:f>IF(R7&lt;'Protocol'!$B$9,1,0)</x:f>
        <x:v>0</x:v>
      </x:c>
      <x:c r="AO7" t="n">
        <x:f>R7-Q7</x:f>
        <x:v>0</x:v>
      </x:c>
      <x:c r="AP7" t="n">
        <x:f>AB7-AA7</x:f>
        <x:v>-0.01666666666666672</x:v>
      </x:c>
      <x:c r="AQ7" t="n">
        <x:f>AD7-AC7</x:f>
        <x:v>-0.01666666666666672</x:v>
      </x:c>
      <x:c r="AR7" t="n">
        <x:f>IF(AO7&gt;0,1,0)</x:f>
        <x:v>0</x:v>
      </x:c>
      <x:c r="AS7" t="n">
        <x:f>IF(AP7&gt;0,1,0)</x:f>
        <x:v>0</x:v>
      </x:c>
      <x:c r="AT7" t="n">
        <x:f>IF(AQ7&gt;0,1,0)</x:f>
        <x:v>0</x:v>
      </x:c>
    </x:row>
    <x:row r="8">
      <x:c r="A8" t="str">
        <x:v>K4_C5</x:v>
      </x:c>
      <x:c r="B8" t="n">
        <x:v>0</x:v>
      </x:c>
      <x:c r="C8" t="str">
        <x:v>phase_c_new</x:v>
      </x:c>
      <x:c r="D8" s="16" t="n">
        <x:v>1.9679322242736816</x:v>
      </x:c>
      <x:c r="E8" s="16" t="n">
        <x:v>1.9542224407196045</x:v>
      </x:c>
      <x:c r="F8" s="16" t="n">
        <x:v>1.9289674758911133</x:v>
      </x:c>
      <x:c r="G8" s="16" t="n">
        <x:f>F8-E8</x:f>
        <x:v>-0.02525496482849121</x:v>
      </x:c>
      <x:c r="H8" s="16" t="n">
        <x:f>F8-D8</x:f>
        <x:v>-0.03896474838256836</x:v>
      </x:c>
      <x:c r="I8" t="n">
        <x:f>IF(F8&lt;E8,1,0)</x:f>
        <x:v>1</x:v>
      </x:c>
      <x:c r="J8" t="n">
        <x:f>IF(F8&lt;D8,1,0)</x:f>
        <x:v>1</x:v>
      </x:c>
      <x:c r="K8" s="17" t="n">
        <x:v>0.7875</x:v>
      </x:c>
      <x:c r="L8" s="17" t="n">
        <x:v>0.6580140023920918</x:v>
      </x:c>
      <x:c r="M8" t="n">
        <x:v>73</x:v>
      </x:c>
      <x:c r="N8" t="n">
        <x:v>73</x:v>
      </x:c>
      <x:c r="O8" s="16" t="n">
        <x:v>2.1162023544311523</x:v>
      </x:c>
      <x:c r="P8" s="16" t="n">
        <x:v>2.0940892696380615</x:v>
      </x:c>
      <x:c r="Q8" s="16" t="n">
        <x:v>1</x:v>
      </x:c>
      <x:c r="R8" s="16" t="n">
        <x:v>1</x:v>
      </x:c>
      <x:c r="S8" s="16" t="n">
        <x:v>0.14397865502482</x:v>
      </x:c>
      <x:c r="T8" s="16" t="n">
        <x:v>0.00168984636811</x:v>
      </x:c>
      <x:c r="U8" t="str">
        <x:v>[0.23984500202204156,0.2570297242110635,0.2523437536135559,0.2507815323002875]</x:v>
      </x:c>
      <x:c r="V8" t="str">
        <x:v>[0.24187872973978758,0.2556243092396688,0.25187500494204784,0.25062194119422776]</x:v>
      </x:c>
      <x:c r="W8" s="16" t="n">
        <x:v>0.23984500202204156</x:v>
      </x:c>
      <x:c r="X8" s="16" t="n">
        <x:v>0.24187872973978758</x:v>
      </x:c>
      <x:c r="Y8" s="16" t="n">
        <x:v>307.0015869140625</x:v>
      </x:c>
      <x:c r="Z8" s="16" t="n">
        <x:v>307.0059509277344</x:v>
      </x:c>
      <x:c r="AA8" s="16" t="n">
        <x:v>1</x:v>
      </x:c>
      <x:c r="AB8" s="16" t="n">
        <x:v>1</x:v>
      </x:c>
      <x:c r="AC8" s="16" t="n">
        <x:v>1</x:v>
      </x:c>
      <x:c r="AD8" s="16" t="n">
        <x:v>1</x:v>
      </x:c>
      <x:c r="AE8" s="16" t="n">
        <x:v>1</x:v>
      </x:c>
      <x:c r="AF8" s="16" t="n">
        <x:v>1</x:v>
      </x:c>
      <x:c r="AG8" s="16" t="n">
        <x:v>1</x:v>
      </x:c>
      <x:c r="AH8" s="16" t="n">
        <x:v>1</x:v>
      </x:c>
      <x:c r="AI8" t="n">
        <x:f>IF(W8&lt;'Protocol'!$B$8,1,0)</x:f>
        <x:v>0</x:v>
      </x:c>
      <x:c r="AJ8" t="n">
        <x:f>IF(X8&lt;'Protocol'!$B$8,1,0)</x:f>
        <x:v>0</x:v>
      </x:c>
      <x:c r="AK8" t="n">
        <x:f>IF(AND(AI8=1,AJ8=0),1,0)</x:f>
        <x:v>0</x:v>
      </x:c>
      <x:c r="AL8" t="n">
        <x:f>IF(AND(AJ8=1,AI8=0),1,0)</x:f>
        <x:v>0</x:v>
      </x:c>
      <x:c r="AM8" t="n">
        <x:f>IF(Q8&lt;'Protocol'!$B$9,1,0)</x:f>
        <x:v>0</x:v>
      </x:c>
      <x:c r="AN8" t="n">
        <x:f>IF(R8&lt;'Protocol'!$B$9,1,0)</x:f>
        <x:v>0</x:v>
      </x:c>
      <x:c r="AO8" t="n">
        <x:f>R8-Q8</x:f>
        <x:v>0</x:v>
      </x:c>
      <x:c r="AP8" t="n">
        <x:f>AB8-AA8</x:f>
        <x:v>0</x:v>
      </x:c>
      <x:c r="AQ8" t="n">
        <x:f>AD8-AC8</x:f>
        <x:v>0</x:v>
      </x:c>
      <x:c r="AR8" t="n">
        <x:f>IF(AO8&gt;0,1,0)</x:f>
        <x:v>0</x:v>
      </x:c>
      <x:c r="AS8" t="n">
        <x:f>IF(AP8&gt;0,1,0)</x:f>
        <x:v>0</x:v>
      </x:c>
      <x:c r="AT8" t="n">
        <x:f>IF(AQ8&gt;0,1,0)</x:f>
        <x:v>0</x:v>
      </x:c>
    </x:row>
    <x:row r="9">
      <x:c r="A9" t="str">
        <x:v>K4_C5</x:v>
      </x:c>
      <x:c r="B9" t="n">
        <x:v>1</x:v>
      </x:c>
      <x:c r="C9" t="str">
        <x:v>phase_c_new</x:v>
      </x:c>
      <x:c r="D9" s="16" t="n">
        <x:v>1.9875565767288208</x:v>
      </x:c>
      <x:c r="E9" s="16" t="n">
        <x:v>1.9386622905731201</x:v>
      </x:c>
      <x:c r="F9" s="16" t="n">
        <x:v>2.000304698944092</x:v>
      </x:c>
      <x:c r="G9" s="16" t="n">
        <x:f>F9-E9</x:f>
        <x:v>0.06164240837097168</x:v>
      </x:c>
      <x:c r="H9" s="16" t="n">
        <x:f>F9-D9</x:f>
        <x:v>0.012748122215270996</x:v>
      </x:c>
      <x:c r="I9" t="n">
        <x:f>IF(F9&lt;E9,1,0)</x:f>
        <x:v>0</x:v>
      </x:c>
      <x:c r="J9" t="n">
        <x:f>IF(F9&lt;D9,1,0)</x:f>
        <x:v>0</x:v>
      </x:c>
      <x:c r="K9" s="17" t="n">
        <x:v>0.53125</x:v>
      </x:c>
      <x:c r="L9" s="17" t="n">
        <x:v>0.2325854668364209</x:v>
      </x:c>
      <x:c r="M9" t="n">
        <x:v>75</x:v>
      </x:c>
      <x:c r="N9" t="n">
        <x:v>73</x:v>
      </x:c>
      <x:c r="O9" s="16" t="n">
        <x:v>2.101278305053711</x:v>
      </x:c>
      <x:c r="P9" s="16" t="n">
        <x:v>2.15988826751709</x:v>
      </x:c>
      <x:c r="Q9" s="16" t="n">
        <x:v>1</x:v>
      </x:c>
      <x:c r="R9" s="16" t="n">
        <x:v>1</x:v>
      </x:c>
      <x:c r="S9" s="16" t="n">
        <x:v>0.06843060364348</x:v>
      </x:c>
      <x:c r="T9" s="16" t="n">
        <x:v>0.16316648141883</x:v>
      </x:c>
      <x:c r="U9" t="str">
        <x:v>[0.2507754635895932,0.2523437536135559,0.23985066325580767,0.2570300918952963]</x:v>
      </x:c>
      <x:c r="V9" t="str">
        <x:v>[0.25062439107621326,0.25187500494204784,0.2419024902805696,0.2555981039815982]</x:v>
      </x:c>
      <x:c r="W9" s="16" t="n">
        <x:v>0.23985066325580767</x:v>
      </x:c>
      <x:c r="X9" s="16" t="n">
        <x:v>0.2419024902805696</x:v>
      </x:c>
      <x:c r="Y9" s="16" t="n">
        <x:v>307.00885009765625</x:v>
      </x:c>
      <x:c r="Z9" s="16" t="n">
        <x:v>307.04400634765625</x:v>
      </x:c>
      <x:c r="AA9" s="16" t="n">
        <x:v>1</x:v>
      </x:c>
      <x:c r="AB9" s="16" t="n">
        <x:v>1</x:v>
      </x:c>
      <x:c r="AC9" s="16" t="n">
        <x:v>1</x:v>
      </x:c>
      <x:c r="AD9" s="16" t="n">
        <x:v>1</x:v>
      </x:c>
      <x:c r="AE9" s="16" t="n">
        <x:v>1</x:v>
      </x:c>
      <x:c r="AF9" s="16" t="n">
        <x:v>1</x:v>
      </x:c>
      <x:c r="AG9" s="16" t="n">
        <x:v>1</x:v>
      </x:c>
      <x:c r="AH9" s="16" t="n">
        <x:v>1</x:v>
      </x:c>
      <x:c r="AI9" t="n">
        <x:f>IF(W9&lt;'Protocol'!$B$8,1,0)</x:f>
        <x:v>0</x:v>
      </x:c>
      <x:c r="AJ9" t="n">
        <x:f>IF(X9&lt;'Protocol'!$B$8,1,0)</x:f>
        <x:v>0</x:v>
      </x:c>
      <x:c r="AK9" t="n">
        <x:f>IF(AND(AI9=1,AJ9=0),1,0)</x:f>
        <x:v>0</x:v>
      </x:c>
      <x:c r="AL9" t="n">
        <x:f>IF(AND(AJ9=1,AI9=0),1,0)</x:f>
        <x:v>0</x:v>
      </x:c>
      <x:c r="AM9" t="n">
        <x:f>IF(Q9&lt;'Protocol'!$B$9,1,0)</x:f>
        <x:v>0</x:v>
      </x:c>
      <x:c r="AN9" t="n">
        <x:f>IF(R9&lt;'Protocol'!$B$9,1,0)</x:f>
        <x:v>0</x:v>
      </x:c>
      <x:c r="AO9" t="n">
        <x:f>R9-Q9</x:f>
        <x:v>0</x:v>
      </x:c>
      <x:c r="AP9" t="n">
        <x:f>AB9-AA9</x:f>
        <x:v>0</x:v>
      </x:c>
      <x:c r="AQ9" t="n">
        <x:f>AD9-AC9</x:f>
        <x:v>0</x:v>
      </x:c>
      <x:c r="AR9" t="n">
        <x:f>IF(AO9&gt;0,1,0)</x:f>
        <x:v>0</x:v>
      </x:c>
      <x:c r="AS9" t="n">
        <x:f>IF(AP9&gt;0,1,0)</x:f>
        <x:v>0</x:v>
      </x:c>
      <x:c r="AT9" t="n">
        <x:f>IF(AQ9&gt;0,1,0)</x:f>
        <x:v>0</x:v>
      </x:c>
    </x:row>
    <x:row r="10">
      <x:c r="A10" t="str">
        <x:v>K4_C5</x:v>
      </x:c>
      <x:c r="B10" t="n">
        <x:v>2</x:v>
      </x:c>
      <x:c r="C10" t="str">
        <x:v>phase_c_new</x:v>
      </x:c>
      <x:c r="D10" s="16" t="n">
        <x:v>1.947782278060913</x:v>
      </x:c>
      <x:c r="E10" s="16" t="n">
        <x:v>1.9278547763824463</x:v>
      </x:c>
      <x:c r="F10" s="16" t="n">
        <x:v>1.9365421533584595</x:v>
      </x:c>
      <x:c r="G10" s="16" t="n">
        <x:f>F10-E10</x:f>
        <x:v>0.008687376976013184</x:v>
      </x:c>
      <x:c r="H10" s="16" t="n">
        <x:f>F10-D10</x:f>
        <x:v>-0.011240124702453613</x:v>
      </x:c>
      <x:c r="I10" t="n">
        <x:f>IF(F10&lt;E10,1,0)</x:f>
        <x:v>0</x:v>
      </x:c>
      <x:c r="J10" t="n">
        <x:f>IF(F10&lt;D10,1,0)</x:f>
        <x:v>1</x:v>
      </x:c>
      <x:c r="K10" s="17" t="n">
        <x:v>0.7875</x:v>
      </x:c>
      <x:c r="L10" s="17" t="n">
        <x:v>0.6366046640471579</x:v>
      </x:c>
      <x:c r="M10" t="n">
        <x:v>74</x:v>
      </x:c>
      <x:c r="N10" t="n">
        <x:v>75</x:v>
      </x:c>
      <x:c r="O10" s="16" t="n">
        <x:v>2.0963268280029297</x:v>
      </x:c>
      <x:c r="P10" s="16" t="n">
        <x:v>2.1085143089294434</x:v>
      </x:c>
      <x:c r="Q10" s="16" t="n">
        <x:v>1</x:v>
      </x:c>
      <x:c r="R10" s="16" t="n">
        <x:v>1</x:v>
      </x:c>
      <x:c r="S10" s="16" t="n">
        <x:v>0.07586894131242</x:v>
      </x:c>
      <x:c r="T10" s="16" t="n">
        <x:v>0.0481575384092</x:v>
      </x:c>
      <x:c r="U10" t="str">
        <x:v>[0.2523437536135559,0.2570297548513962,0.25078045606501814,0.23984603132733276]</x:v>
      </x:c>
      <x:c r="V10" t="str">
        <x:v>[0.25187500494204784,0.2556217495379318,0.2506239130485795,0.24187933525856764]</x:v>
      </x:c>
      <x:c r="W10" s="16" t="n">
        <x:v>0.23984603132733276</x:v>
      </x:c>
      <x:c r="X10" s="16" t="n">
        <x:v>0.24187933525856764</x:v>
      </x:c>
      <x:c r="Y10" s="16" t="n">
        <x:v>307.0029296875</x:v>
      </x:c>
      <x:c r="Z10" s="16" t="n">
        <x:v>307.0069274902344</x:v>
      </x:c>
      <x:c r="AA10" s="16" t="n">
        <x:v>1</x:v>
      </x:c>
      <x:c r="AB10" s="16" t="n">
        <x:v>1</x:v>
      </x:c>
      <x:c r="AC10" s="16" t="n">
        <x:v>1</x:v>
      </x:c>
      <x:c r="AD10" s="16" t="n">
        <x:v>1</x:v>
      </x:c>
      <x:c r="AE10" s="16" t="n">
        <x:v>1</x:v>
      </x:c>
      <x:c r="AF10" s="16" t="n">
        <x:v>1</x:v>
      </x:c>
      <x:c r="AG10" s="16" t="n">
        <x:v>1</x:v>
      </x:c>
      <x:c r="AH10" s="16" t="n">
        <x:v>1</x:v>
      </x:c>
      <x:c r="AI10" t="n">
        <x:f>IF(W10&lt;'Protocol'!$B$8,1,0)</x:f>
        <x:v>0</x:v>
      </x:c>
      <x:c r="AJ10" t="n">
        <x:f>IF(X10&lt;'Protocol'!$B$8,1,0)</x:f>
        <x:v>0</x:v>
      </x:c>
      <x:c r="AK10" t="n">
        <x:f>IF(AND(AI10=1,AJ10=0),1,0)</x:f>
        <x:v>0</x:v>
      </x:c>
      <x:c r="AL10" t="n">
        <x:f>IF(AND(AJ10=1,AI10=0),1,0)</x:f>
        <x:v>0</x:v>
      </x:c>
      <x:c r="AM10" t="n">
        <x:f>IF(Q10&lt;'Protocol'!$B$9,1,0)</x:f>
        <x:v>0</x:v>
      </x:c>
      <x:c r="AN10" t="n">
        <x:f>IF(R10&lt;'Protocol'!$B$9,1,0)</x:f>
        <x:v>0</x:v>
      </x:c>
      <x:c r="AO10" t="n">
        <x:f>R10-Q10</x:f>
        <x:v>0</x:v>
      </x:c>
      <x:c r="AP10" t="n">
        <x:f>AB10-AA10</x:f>
        <x:v>0</x:v>
      </x:c>
      <x:c r="AQ10" t="n">
        <x:f>AD10-AC10</x:f>
        <x:v>0</x:v>
      </x:c>
      <x:c r="AR10" t="n">
        <x:f>IF(AO10&gt;0,1,0)</x:f>
        <x:v>0</x:v>
      </x:c>
      <x:c r="AS10" t="n">
        <x:f>IF(AP10&gt;0,1,0)</x:f>
        <x:v>0</x:v>
      </x:c>
      <x:c r="AT10" t="n">
        <x:f>IF(AQ10&gt;0,1,0)</x:f>
        <x:v>0</x:v>
      </x:c>
    </x:row>
    <x:row r="11">
      <x:c r="A11" t="str">
        <x:v>K5_C5</x:v>
      </x:c>
      <x:c r="B11" t="n">
        <x:v>0</x:v>
      </x:c>
      <x:c r="C11" t="str">
        <x:v>phase_c_new</x:v>
      </x:c>
      <x:c r="D11" s="16" t="n">
        <x:v>2.026313304901123</x:v>
      </x:c>
      <x:c r="E11" s="16" t="n">
        <x:v>1.9905917644500732</x:v>
      </x:c>
      <x:c r="F11" s="16" t="n">
        <x:v>1.9866570234298706</x:v>
      </x:c>
      <x:c r="G11" s="16" t="n">
        <x:f>F11-E11</x:f>
        <x:v>-0.003934741020202637</x:v>
      </x:c>
      <x:c r="H11" s="16" t="n">
        <x:f>F11-D11</x:f>
        <x:v>-0.03965628147125244</x:v>
      </x:c>
      <x:c r="I11" t="n">
        <x:f>IF(F11&lt;E11,1,0)</x:f>
        <x:v>1</x:v>
      </x:c>
      <x:c r="J11" t="n">
        <x:f>IF(F11&lt;D11,1,0)</x:f>
        <x:v>1</x:v>
      </x:c>
      <x:c r="K11" s="17" t="n">
        <x:v>0.79</x:v>
      </x:c>
      <x:c r="L11" s="17" t="n">
        <x:v>0.6935508299221399</x:v>
      </x:c>
      <x:c r="M11" t="n">
        <x:v>75</x:v>
      </x:c>
      <x:c r="N11" t="n">
        <x:v>73</x:v>
      </x:c>
      <x:c r="O11" s="16" t="n">
        <x:v>1.9710761308670044</x:v>
      </x:c>
      <x:c r="P11" s="16" t="n">
        <x:v>1.9702156782150269</x:v>
      </x:c>
      <x:c r="Q11" s="16" t="n">
        <x:v>1</x:v>
      </x:c>
      <x:c r="R11" s="16" t="n">
        <x:v>1</x:v>
      </x:c>
      <x:c r="S11" s="16" t="n">
        <x:v>0.2072772966173</x:v>
      </x:c>
      <x:c r="T11" s="16" t="n">
        <x:v>0.19377553857745</x:v>
      </x:c>
      <x:c r="U11" t="str">
        <x:v>[0.2056369129621378,0.19686374774056226,0.19493382841362625,0.20187499758930966,0.20069057079006883]</x:v>
      </x:c>
      <x:c r="V11" t="str">
        <x:v>[0.20452864923017905,0.1974713544292254,0.19644135533512921,0.20149999866195126,0.20005862970637167]</x:v>
      </x:c>
      <x:c r="W11" s="16" t="n">
        <x:v>0.19493382841362625</x:v>
      </x:c>
      <x:c r="X11" s="16" t="n">
        <x:v>0.19644135533512921</x:v>
      </x:c>
      <x:c r="Y11" s="16" t="n">
        <x:v>311.89410400390625</x:v>
      </x:c>
      <x:c r="Z11" s="16" t="n">
        <x:v>312.8827209472656</x:v>
      </x:c>
      <x:c r="AA11" s="16" t="n">
        <x:v>1</x:v>
      </x:c>
      <x:c r="AB11" s="16" t="n">
        <x:v>1</x:v>
      </x:c>
      <x:c r="AC11" s="16" t="n">
        <x:v>1</x:v>
      </x:c>
      <x:c r="AD11" s="16" t="n">
        <x:v>1</x:v>
      </x:c>
      <x:c r="AE11" s="16" t="n">
        <x:v>1</x:v>
      </x:c>
      <x:c r="AF11" s="16" t="n">
        <x:v>1</x:v>
      </x:c>
      <x:c r="AG11" s="16" t="n">
        <x:v>1</x:v>
      </x:c>
      <x:c r="AH11" s="16" t="n">
        <x:v>1</x:v>
      </x:c>
      <x:c r="AI11" t="n">
        <x:f>IF(W11&lt;'Protocol'!$B$8,1,0)</x:f>
        <x:v>0</x:v>
      </x:c>
      <x:c r="AJ11" t="n">
        <x:f>IF(X11&lt;'Protocol'!$B$8,1,0)</x:f>
        <x:v>0</x:v>
      </x:c>
      <x:c r="AK11" t="n">
        <x:f>IF(AND(AI11=1,AJ11=0),1,0)</x:f>
        <x:v>0</x:v>
      </x:c>
      <x:c r="AL11" t="n">
        <x:f>IF(AND(AJ11=1,AI11=0),1,0)</x:f>
        <x:v>0</x:v>
      </x:c>
      <x:c r="AM11" t="n">
        <x:f>IF(Q11&lt;'Protocol'!$B$9,1,0)</x:f>
        <x:v>0</x:v>
      </x:c>
      <x:c r="AN11" t="n">
        <x:f>IF(R11&lt;'Protocol'!$B$9,1,0)</x:f>
        <x:v>0</x:v>
      </x:c>
      <x:c r="AO11" t="n">
        <x:f>R11-Q11</x:f>
        <x:v>0</x:v>
      </x:c>
      <x:c r="AP11" t="n">
        <x:f>AB11-AA11</x:f>
        <x:v>0</x:v>
      </x:c>
      <x:c r="AQ11" t="n">
        <x:f>AD11-AC11</x:f>
        <x:v>0</x:v>
      </x:c>
      <x:c r="AR11" t="n">
        <x:f>IF(AO11&gt;0,1,0)</x:f>
        <x:v>0</x:v>
      </x:c>
      <x:c r="AS11" t="n">
        <x:f>IF(AP11&gt;0,1,0)</x:f>
        <x:v>0</x:v>
      </x:c>
      <x:c r="AT11" t="n">
        <x:f>IF(AQ11&gt;0,1,0)</x:f>
        <x:v>0</x:v>
      </x:c>
    </x:row>
    <x:row r="12">
      <x:c r="A12" t="str">
        <x:v>K5_C5</x:v>
      </x:c>
      <x:c r="B12" t="n">
        <x:v>1</x:v>
      </x:c>
      <x:c r="C12" t="str">
        <x:v>phase_c_new</x:v>
      </x:c>
      <x:c r="D12" s="16" t="n">
        <x:v>2.060662031173706</x:v>
      </x:c>
      <x:c r="E12" s="16" t="n">
        <x:v>2.352851390838623</x:v>
      </x:c>
      <x:c r="F12" s="16" t="n">
        <x:v>2.176785945892334</x:v>
      </x:c>
      <x:c r="G12" s="16" t="n">
        <x:f>F12-E12</x:f>
        <x:v>-0.17606544494628906</x:v>
      </x:c>
      <x:c r="H12" s="16" t="n">
        <x:f>F12-D12</x:f>
        <x:v>0.11612391471862793</x:v>
      </x:c>
      <x:c r="I12" t="n">
        <x:f>IF(F12&lt;E12,1,0)</x:f>
        <x:v>1</x:v>
      </x:c>
      <x:c r="J12" t="n">
        <x:f>IF(F12&lt;D12,1,0)</x:f>
        <x:v>0</x:v>
      </x:c>
      <x:c r="K12" s="17" t="n">
        <x:v>0.795</x:v>
      </x:c>
      <x:c r="L12" s="17" t="n">
        <x:v>0.7407817628178202</x:v>
      </x:c>
      <x:c r="M12" t="n">
        <x:v>70</x:v>
      </x:c>
      <x:c r="N12" t="n">
        <x:v>75</x:v>
      </x:c>
      <x:c r="O12" s="16" t="n">
        <x:v>2.345046281814575</x:v>
      </x:c>
      <x:c r="P12" s="16" t="n">
        <x:v>2.1591451168060303</x:v>
      </x:c>
      <x:c r="Q12" s="16" t="n">
        <x:v>0.92</x:v>
      </x:c>
      <x:c r="R12" s="16" t="n">
        <x:v>0.99</x:v>
      </x:c>
      <x:c r="S12" s="16" t="n">
        <x:v>0.52713090756456</x:v>
      </x:c>
      <x:c r="T12" s="16" t="n">
        <x:v>0.36179990932619</x:v>
      </x:c>
      <x:c r="U12" t="str">
        <x:v>[0.14738185560721365,0.20193018703686655,0.18351972211423576,0.26483116927468314,0.20233700308232497]</x:v>
      </x:c>
      <x:c r="V12" t="str">
        <x:v>[0.18997599474511356,0.20159360493437345,0.1958727332817149,0.21265147736279533,0.19990619827875455]</x:v>
      </x:c>
      <x:c r="W12" s="16" t="n">
        <x:v>0.14738185560721365</x:v>
      </x:c>
      <x:c r="X12" s="16" t="n">
        <x:v>0.18997599474511356</x:v>
      </x:c>
      <x:c r="Y12" s="16" t="n">
        <x:v>235.81097412109375</x:v>
      </x:c>
      <x:c r="Z12" s="16" t="n">
        <x:v>299.9519958496094</x:v>
      </x:c>
      <x:c r="AA12" s="16" t="n">
        <x:v>0.935</x:v>
      </x:c>
      <x:c r="AB12" s="16" t="n">
        <x:v>0.98</x:v>
      </x:c>
      <x:c r="AC12" s="16" t="n">
        <x:v>0.94</x:v>
      </x:c>
      <x:c r="AD12" s="16" t="n">
        <x:v>0.98</x:v>
      </x:c>
      <x:c r="AE12" s="16" t="n">
        <x:v>0.8465243452745218</x:v>
      </x:c>
      <x:c r="AF12" s="16" t="n">
        <x:v>0.9507633145393122</x:v>
      </x:c>
      <x:c r="AG12" s="16" t="n">
        <x:v>0.8558921370176843</x:v>
      </x:c>
      <x:c r="AH12" s="16" t="n">
        <x:v>0.9507633145393122</x:v>
      </x:c>
      <x:c r="AI12" t="n">
        <x:f>IF(W12&lt;'Protocol'!$B$8,1,0)</x:f>
        <x:v>0</x:v>
      </x:c>
      <x:c r="AJ12" t="n">
        <x:f>IF(X12&lt;'Protocol'!$B$8,1,0)</x:f>
        <x:v>0</x:v>
      </x:c>
      <x:c r="AK12" t="n">
        <x:f>IF(AND(AI12=1,AJ12=0),1,0)</x:f>
        <x:v>0</x:v>
      </x:c>
      <x:c r="AL12" t="n">
        <x:f>IF(AND(AJ12=1,AI12=0),1,0)</x:f>
        <x:v>0</x:v>
      </x:c>
      <x:c r="AM12" t="n">
        <x:f>IF(Q12&lt;'Protocol'!$B$9,1,0)</x:f>
        <x:v>0</x:v>
      </x:c>
      <x:c r="AN12" t="n">
        <x:f>IF(R12&lt;'Protocol'!$B$9,1,0)</x:f>
        <x:v>0</x:v>
      </x:c>
      <x:c r="AO12" t="n">
        <x:f>R12-Q12</x:f>
        <x:v>0.06999999999999995</x:v>
      </x:c>
      <x:c r="AP12" t="n">
        <x:f>AB12-AA12</x:f>
        <x:v>0.04499999999999993</x:v>
      </x:c>
      <x:c r="AQ12" t="n">
        <x:f>AD12-AC12</x:f>
        <x:v>0.040000000000000036</x:v>
      </x:c>
      <x:c r="AR12" t="n">
        <x:f>IF(AO12&gt;0,1,0)</x:f>
        <x:v>1</x:v>
      </x:c>
      <x:c r="AS12" t="n">
        <x:f>IF(AP12&gt;0,1,0)</x:f>
        <x:v>1</x:v>
      </x:c>
      <x:c r="AT12" t="n">
        <x:f>IF(AQ12&gt;0,1,0)</x:f>
        <x:v>1</x:v>
      </x:c>
    </x:row>
    <x:row r="13">
      <x:c r="A13" t="str">
        <x:v>K5_C5</x:v>
      </x:c>
      <x:c r="B13" t="n">
        <x:v>2</x:v>
      </x:c>
      <x:c r="C13" t="str">
        <x:v>phase_c_new</x:v>
      </x:c>
      <x:c r="D13" s="16" t="n">
        <x:v>2.040039539337158</x:v>
      </x:c>
      <x:c r="E13" s="16" t="n">
        <x:v>2.0918006896972656</x:v>
      </x:c>
      <x:c r="F13" s="16" t="n">
        <x:v>2.2450037002563477</x:v>
      </x:c>
      <x:c r="G13" s="16" t="n">
        <x:f>F13-E13</x:f>
        <x:v>0.15320301055908203</x:v>
      </x:c>
      <x:c r="H13" s="16" t="n">
        <x:f>F13-D13</x:f>
        <x:v>0.20496416091918945</x:v>
      </x:c>
      <x:c r="I13" t="n">
        <x:f>IF(F13&lt;E13,1,0)</x:f>
        <x:v>0</x:v>
      </x:c>
      <x:c r="J13" t="n">
        <x:f>IF(F13&lt;D13,1,0)</x:f>
        <x:v>0</x:v>
      </x:c>
      <x:c r="K13" s="17" t="n">
        <x:v>0.795</x:v>
      </x:c>
      <x:c r="L13" s="17" t="n">
        <x:v>0.7345196120071196</x:v>
      </x:c>
      <x:c r="M13" t="n">
        <x:v>70</x:v>
      </x:c>
      <x:c r="N13" t="n">
        <x:v>75</x:v>
      </x:c>
      <x:c r="O13" s="16" t="n">
        <x:v>2.0720267295837402</x:v>
      </x:c>
      <x:c r="P13" s="16" t="n">
        <x:v>2.241560697555542</x:v>
      </x:c>
      <x:c r="Q13" s="16" t="n">
        <x:v>0.85</x:v>
      </x:c>
      <x:c r="R13" s="16" t="n">
        <x:v>0.9</x:v>
      </x:c>
      <x:c r="S13" s="16" t="n">
        <x:v>0.24357242213008</x:v>
      </x:c>
      <x:c r="T13" s="16" t="n">
        <x:v>0.30313926958192</x:v>
      </x:c>
      <x:c r="U13" t="str">
        <x:v>[0.4024171260401513,0.11494295130785695,0.08034623957905952,0.2018749494585653,0.20041873712393632]</x:v>
      </x:c>
      <x:c r="V13" t="str">
        <x:v>[0.20193037961259144,0.24715855517963287,0.22600853883265573,0.170880651059648,0.15402187169629256]</x:v>
      </x:c>
      <x:c r="W13" s="16" t="n">
        <x:v>0.08034623957905952</x:v>
      </x:c>
      <x:c r="X13" s="16" t="n">
        <x:v>0.15402187169629256</x:v>
      </x:c>
      <x:c r="Y13" s="16" t="n">
        <x:v>128.55398559570312</x:v>
      </x:c>
      <x:c r="Z13" s="16" t="n">
        <x:v>228.04376220703125</x:v>
      </x:c>
      <x:c r="AA13" s="16" t="n">
        <x:v>0.795</x:v>
      </x:c>
      <x:c r="AB13" s="16" t="n">
        <x:v>0.9</x:v>
      </x:c>
      <x:c r="AC13" s="16" t="n">
        <x:v>0.795</x:v>
      </x:c>
      <x:c r="AD13" s="16" t="n">
        <x:v>0.9</x:v>
      </x:c>
      <x:c r="AE13" s="16" t="n">
        <x:v>0.7407817628178202</x:v>
      </x:c>
      <x:c r="AF13" s="16" t="n">
        <x:v>0.7758261480376465</x:v>
      </x:c>
      <x:c r="AG13" s="16" t="n">
        <x:v>0.7407817628178202</x:v>
      </x:c>
      <x:c r="AH13" s="16" t="n">
        <x:v>0.776479481865141</x:v>
      </x:c>
      <x:c r="AI13" t="n">
        <x:f>IF(W13&lt;'Protocol'!$B$8,1,0)</x:f>
        <x:v>0</x:v>
      </x:c>
      <x:c r="AJ13" t="n">
        <x:f>IF(X13&lt;'Protocol'!$B$8,1,0)</x:f>
        <x:v>0</x:v>
      </x:c>
      <x:c r="AK13" t="n">
        <x:f>IF(AND(AI13=1,AJ13=0),1,0)</x:f>
        <x:v>0</x:v>
      </x:c>
      <x:c r="AL13" t="n">
        <x:f>IF(AND(AJ13=1,AI13=0),1,0)</x:f>
        <x:v>0</x:v>
      </x:c>
      <x:c r="AM13" t="n">
        <x:f>IF(Q13&lt;'Protocol'!$B$9,1,0)</x:f>
        <x:v>1</x:v>
      </x:c>
      <x:c r="AN13" t="n">
        <x:f>IF(R13&lt;'Protocol'!$B$9,1,0)</x:f>
        <x:v>0</x:v>
      </x:c>
      <x:c r="AO13" t="n">
        <x:f>R13-Q13</x:f>
        <x:v>0.050000000000000044</x:v>
      </x:c>
      <x:c r="AP13" t="n">
        <x:f>AB13-AA13</x:f>
        <x:v>0.10499999999999998</x:v>
      </x:c>
      <x:c r="AQ13" t="n">
        <x:f>AD13-AC13</x:f>
        <x:v>0.10499999999999998</x:v>
      </x:c>
      <x:c r="AR13" t="n">
        <x:f>IF(AO13&gt;0,1,0)</x:f>
        <x:v>1</x:v>
      </x:c>
      <x:c r="AS13" t="n">
        <x:f>IF(AP13&gt;0,1,0)</x:f>
        <x:v>1</x:v>
      </x:c>
      <x:c r="AT13" t="n">
        <x:f>IF(AQ13&gt;0,1,0)</x:f>
        <x:v>1</x:v>
      </x:c>
    </x:row>
    <x:row r="14">
      <x:c r="A14" t="str">
        <x:v>sin_K2_C5</x:v>
      </x:c>
      <x:c r="B14" t="n">
        <x:v>0</x:v>
      </x:c>
      <x:c r="C14" t="str">
        <x:v>phase_c_new</x:v>
      </x:c>
      <x:c r="D14" s="16" t="n">
        <x:v>3.4832422733306885</x:v>
      </x:c>
      <x:c r="E14" s="16" t="n">
        <x:v>3.4964632987976074</x:v>
      </x:c>
      <x:c r="F14" s="16" t="n">
        <x:v>3.486009120941162</x:v>
      </x:c>
      <x:c r="G14" s="16" t="n">
        <x:f>F14-E14</x:f>
        <x:v>-0.010454177856445312</x:v>
      </x:c>
      <x:c r="H14" s="16" t="n">
        <x:f>F14-D14</x:f>
        <x:v>0.002766847610473633</x:v>
      </x:c>
      <x:c r="I14" t="n">
        <x:f>IF(F14&lt;E14,1,0)</x:f>
        <x:v>1</x:v>
      </x:c>
      <x:c r="J14" t="n">
        <x:f>IF(F14&lt;D14,1,0)</x:f>
        <x:v>0</x:v>
      </x:c>
      <x:c r="K14" s="17" t="n">
        <x:v>1</x:v>
      </x:c>
      <x:c r="L14" s="17" t="n">
        <x:v>1</x:v>
      </x:c>
      <x:c r="M14" t="n">
        <x:v>74</x:v>
      </x:c>
      <x:c r="N14" t="n">
        <x:v>65</x:v>
      </x:c>
      <x:c r="O14" s="16" t="n">
        <x:v>2.9228687286376953</x:v>
      </x:c>
      <x:c r="P14" s="16" t="n">
        <x:v>2.921689987182617</x:v>
      </x:c>
      <x:c r="Q14" s="16" t="n">
        <x:v>0.9875</x:v>
      </x:c>
      <x:c r="R14" s="16" t="n">
        <x:v>0.9875</x:v>
      </x:c>
      <x:c r="S14" s="16" t="n">
        <x:v>0.1057797565232</x:v>
      </x:c>
      <x:c r="T14" s="16" t="n">
        <x:v>0.0415088002618</x:v>
      </x:c>
      <x:c r="U14" t="str">
        <x:v>[0.4964168915578449,0.5035831248462083]</x:v>
      </x:c>
      <x:c r="V14" t="str">
        <x:v>[0.49871351116506546,0.501286459111895]</x:v>
      </x:c>
      <x:c r="W14" s="16" t="n">
        <x:v>0.4964168915578449</x:v>
      </x:c>
      <x:c r="X14" s="16" t="n">
        <x:v>0.49871351116506546</x:v>
      </x:c>
      <x:c r="Y14" s="16" t="n">
        <x:v>317.7068176269531</x:v>
      </x:c>
      <x:c r="Z14" s="16" t="n">
        <x:v>318.9708251953125</x:v>
      </x:c>
      <x:c r="AA14" s="16" t="n">
        <x:v>1</x:v>
      </x:c>
      <x:c r="AB14" s="16" t="n">
        <x:v>1</x:v>
      </x:c>
      <x:c r="AC14" s="16" t="n">
        <x:v>1</x:v>
      </x:c>
      <x:c r="AD14" s="16" t="n">
        <x:v>1</x:v>
      </x:c>
      <x:c r="AE14" s="16" t="n">
        <x:v>1</x:v>
      </x:c>
      <x:c r="AF14" s="16" t="n">
        <x:v>1</x:v>
      </x:c>
      <x:c r="AG14" s="16" t="n">
        <x:v>1</x:v>
      </x:c>
      <x:c r="AH14" s="16" t="n">
        <x:v>1</x:v>
      </x:c>
      <x:c r="AI14" t="n">
        <x:f>IF(W14&lt;'Protocol'!$B$8,1,0)</x:f>
        <x:v>0</x:v>
      </x:c>
      <x:c r="AJ14" t="n">
        <x:f>IF(X14&lt;'Protocol'!$B$8,1,0)</x:f>
        <x:v>0</x:v>
      </x:c>
      <x:c r="AK14" t="n">
        <x:f>IF(AND(AI14=1,AJ14=0),1,0)</x:f>
        <x:v>0</x:v>
      </x:c>
      <x:c r="AL14" t="n">
        <x:f>IF(AND(AJ14=1,AI14=0),1,0)</x:f>
        <x:v>0</x:v>
      </x:c>
      <x:c r="AM14" t="n">
        <x:f>IF(Q14&lt;'Protocol'!$B$9,1,0)</x:f>
        <x:v>0</x:v>
      </x:c>
      <x:c r="AN14" t="n">
        <x:f>IF(R14&lt;'Protocol'!$B$9,1,0)</x:f>
        <x:v>0</x:v>
      </x:c>
      <x:c r="AO14" t="n">
        <x:f>R14-Q14</x:f>
        <x:v>0</x:v>
      </x:c>
      <x:c r="AP14" t="n">
        <x:f>AB14-AA14</x:f>
        <x:v>0</x:v>
      </x:c>
      <x:c r="AQ14" t="n">
        <x:f>AD14-AC14</x:f>
        <x:v>0</x:v>
      </x:c>
      <x:c r="AR14" t="n">
        <x:f>IF(AO14&gt;0,1,0)</x:f>
        <x:v>0</x:v>
      </x:c>
      <x:c r="AS14" t="n">
        <x:f>IF(AP14&gt;0,1,0)</x:f>
        <x:v>0</x:v>
      </x:c>
      <x:c r="AT14" t="n">
        <x:f>IF(AQ14&gt;0,1,0)</x:f>
        <x:v>0</x:v>
      </x:c>
    </x:row>
    <x:row r="15">
      <x:c r="A15" t="str">
        <x:v>sin_K2_C5</x:v>
      </x:c>
      <x:c r="B15" t="n">
        <x:v>1</x:v>
      </x:c>
      <x:c r="C15" t="str">
        <x:v>phase_c_new</x:v>
      </x:c>
      <x:c r="D15" s="16" t="n">
        <x:v>3.483792781829834</x:v>
      </x:c>
      <x:c r="E15" s="16" t="n">
        <x:v>3.4880762100219727</x:v>
      </x:c>
      <x:c r="F15" s="16" t="n">
        <x:v>3.4865341186523438</x:v>
      </x:c>
      <x:c r="G15" s="16" t="n">
        <x:f>F15-E15</x:f>
        <x:v>-0.0015420913696289062</x:v>
      </x:c>
      <x:c r="H15" s="16" t="n">
        <x:f>F15-D15</x:f>
        <x:v>0.0027413368225097656</x:v>
      </x:c>
      <x:c r="I15" t="n">
        <x:f>IF(F15&lt;E15,1,0)</x:f>
        <x:v>1</x:v>
      </x:c>
      <x:c r="J15" t="n">
        <x:f>IF(F15&lt;D15,1,0)</x:f>
        <x:v>0</x:v>
      </x:c>
      <x:c r="K15" s="17" t="n">
        <x:v>1</x:v>
      </x:c>
      <x:c r="L15" s="17" t="n">
        <x:v>1</x:v>
      </x:c>
      <x:c r="M15" t="n">
        <x:v>75</x:v>
      </x:c>
      <x:c r="N15" t="n">
        <x:v>74</x:v>
      </x:c>
      <x:c r="O15" s="16" t="n">
        <x:v>2.918719530105591</x:v>
      </x:c>
      <x:c r="P15" s="16" t="n">
        <x:v>2.919663906097412</x:v>
      </x:c>
      <x:c r="Q15" s="16" t="n">
        <x:v>0.9875</x:v>
      </x:c>
      <x:c r="R15" s="16" t="n">
        <x:v>0.9875</x:v>
      </x:c>
      <x:c r="S15" s="16" t="n">
        <x:v>0.24499784065278</x:v>
      </x:c>
      <x:c r="T15" s="16" t="n">
        <x:v>0.16087202752287</x:v>
      </x:c>
      <x:c r="U15" t="str">
        <x:v>[0.5060311488906426,0.49396888591994337]</x:v>
      </x:c>
      <x:c r="V15" t="str">
        <x:v>[0.503348995290395,0.49665099377204575]</x:v>
      </x:c>
      <x:c r="W15" s="16" t="n">
        <x:v>0.49396888591994337</x:v>
      </x:c>
      <x:c r="X15" s="16" t="n">
        <x:v>0.49665099377204575</x:v>
      </x:c>
      <x:c r="Y15" s="16" t="n">
        <x:v>316.14007568359375</x:v>
      </x:c>
      <x:c r="Z15" s="16" t="n">
        <x:v>317.32080078125</x:v>
      </x:c>
      <x:c r="AA15" s="16" t="n">
        <x:v>1</x:v>
      </x:c>
      <x:c r="AB15" s="16" t="n">
        <x:v>1</x:v>
      </x:c>
      <x:c r="AC15" s="16" t="n">
        <x:v>1</x:v>
      </x:c>
      <x:c r="AD15" s="16" t="n">
        <x:v>1</x:v>
      </x:c>
      <x:c r="AE15" s="16" t="n">
        <x:v>1</x:v>
      </x:c>
      <x:c r="AF15" s="16" t="n">
        <x:v>1</x:v>
      </x:c>
      <x:c r="AG15" s="16" t="n">
        <x:v>1</x:v>
      </x:c>
      <x:c r="AH15" s="16" t="n">
        <x:v>1</x:v>
      </x:c>
      <x:c r="AI15" t="n">
        <x:f>IF(W15&lt;'Protocol'!$B$8,1,0)</x:f>
        <x:v>0</x:v>
      </x:c>
      <x:c r="AJ15" t="n">
        <x:f>IF(X15&lt;'Protocol'!$B$8,1,0)</x:f>
        <x:v>0</x:v>
      </x:c>
      <x:c r="AK15" t="n">
        <x:f>IF(AND(AI15=1,AJ15=0),1,0)</x:f>
        <x:v>0</x:v>
      </x:c>
      <x:c r="AL15" t="n">
        <x:f>IF(AND(AJ15=1,AI15=0),1,0)</x:f>
        <x:v>0</x:v>
      </x:c>
      <x:c r="AM15" t="n">
        <x:f>IF(Q15&lt;'Protocol'!$B$9,1,0)</x:f>
        <x:v>0</x:v>
      </x:c>
      <x:c r="AN15" t="n">
        <x:f>IF(R15&lt;'Protocol'!$B$9,1,0)</x:f>
        <x:v>0</x:v>
      </x:c>
      <x:c r="AO15" t="n">
        <x:f>R15-Q15</x:f>
        <x:v>0</x:v>
      </x:c>
      <x:c r="AP15" t="n">
        <x:f>AB15-AA15</x:f>
        <x:v>0</x:v>
      </x:c>
      <x:c r="AQ15" t="n">
        <x:f>AD15-AC15</x:f>
        <x:v>0</x:v>
      </x:c>
      <x:c r="AR15" t="n">
        <x:f>IF(AO15&gt;0,1,0)</x:f>
        <x:v>0</x:v>
      </x:c>
      <x:c r="AS15" t="n">
        <x:f>IF(AP15&gt;0,1,0)</x:f>
        <x:v>0</x:v>
      </x:c>
      <x:c r="AT15" t="n">
        <x:f>IF(AQ15&gt;0,1,0)</x:f>
        <x:v>0</x:v>
      </x:c>
    </x:row>
    <x:row r="16">
      <x:c r="A16" t="str">
        <x:v>sin_K2_C5</x:v>
      </x:c>
      <x:c r="B16" t="n">
        <x:v>2</x:v>
      </x:c>
      <x:c r="C16" t="str">
        <x:v>phase_c_new</x:v>
      </x:c>
      <x:c r="D16" s="16" t="n">
        <x:v>3.474376916885376</x:v>
      </x:c>
      <x:c r="E16" s="16" t="n">
        <x:v>3.491180181503296</x:v>
      </x:c>
      <x:c r="F16" s="16" t="n">
        <x:v>3.491056442260742</x:v>
      </x:c>
      <x:c r="G16" s="16" t="n">
        <x:f>F16-E16</x:f>
        <x:v>-0.00012373924255371094</x:v>
      </x:c>
      <x:c r="H16" s="16" t="n">
        <x:f>F16-D16</x:f>
        <x:v>0.01667952537536621</x:v>
      </x:c>
      <x:c r="I16" t="n">
        <x:f>IF(F16&lt;E16,1,0)</x:f>
        <x:v>1</x:v>
      </x:c>
      <x:c r="J16" t="n">
        <x:f>IF(F16&lt;D16,1,0)</x:f>
        <x:v>0</x:v>
      </x:c>
      <x:c r="K16" s="17" t="n">
        <x:v>1</x:v>
      </x:c>
      <x:c r="L16" s="17" t="n">
        <x:v>1</x:v>
      </x:c>
      <x:c r="M16" t="n">
        <x:v>68</x:v>
      </x:c>
      <x:c r="N16" t="n">
        <x:v>70</x:v>
      </x:c>
      <x:c r="O16" s="16" t="n">
        <x:v>2.9238016605377197</x:v>
      </x:c>
      <x:c r="P16" s="16" t="n">
        <x:v>2.9290072917938232</x:v>
      </x:c>
      <x:c r="Q16" s="16" t="n">
        <x:v>0.9875</x:v>
      </x:c>
      <x:c r="R16" s="16" t="n">
        <x:v>0.9875</x:v>
      </x:c>
      <x:c r="S16" s="16" t="n">
        <x:v>0.00000227684629</x:v>
      </x:c>
      <x:c r="T16" s="16" t="n">
        <x:v>0.02777750986456</x:v>
      </x:c>
      <x:c r="U16" t="str">
        <x:v>[0.4962701530374214,0.5037298939321507]</x:v>
      </x:c>
      <x:c r="V16" t="str">
        <x:v>[0.49733448689094717,0.5026655055788837]</x:v>
      </x:c>
      <x:c r="W16" s="16" t="n">
        <x:v>0.4962701530374214</x:v>
      </x:c>
      <x:c r="X16" s="16" t="n">
        <x:v>0.49733448689094717</x:v>
      </x:c>
      <x:c r="Y16" s="16" t="n">
        <x:v>317.6128845214844</x:v>
      </x:c>
      <x:c r="Z16" s="16" t="n">
        <x:v>317.8675842285156</x:v>
      </x:c>
      <x:c r="AA16" s="16" t="n">
        <x:v>1</x:v>
      </x:c>
      <x:c r="AB16" s="16" t="n">
        <x:v>1</x:v>
      </x:c>
      <x:c r="AC16" s="16" t="n">
        <x:v>1</x:v>
      </x:c>
      <x:c r="AD16" s="16" t="n">
        <x:v>1</x:v>
      </x:c>
      <x:c r="AE16" s="16" t="n">
        <x:v>1</x:v>
      </x:c>
      <x:c r="AF16" s="16" t="n">
        <x:v>1</x:v>
      </x:c>
      <x:c r="AG16" s="16" t="n">
        <x:v>1</x:v>
      </x:c>
      <x:c r="AH16" s="16" t="n">
        <x:v>1</x:v>
      </x:c>
      <x:c r="AI16" t="n">
        <x:f>IF(W16&lt;'Protocol'!$B$8,1,0)</x:f>
        <x:v>0</x:v>
      </x:c>
      <x:c r="AJ16" t="n">
        <x:f>IF(X16&lt;'Protocol'!$B$8,1,0)</x:f>
        <x:v>0</x:v>
      </x:c>
      <x:c r="AK16" t="n">
        <x:f>IF(AND(AI16=1,AJ16=0),1,0)</x:f>
        <x:v>0</x:v>
      </x:c>
      <x:c r="AL16" t="n">
        <x:f>IF(AND(AJ16=1,AI16=0),1,0)</x:f>
        <x:v>0</x:v>
      </x:c>
      <x:c r="AM16" t="n">
        <x:f>IF(Q16&lt;'Protocol'!$B$9,1,0)</x:f>
        <x:v>0</x:v>
      </x:c>
      <x:c r="AN16" t="n">
        <x:f>IF(R16&lt;'Protocol'!$B$9,1,0)</x:f>
        <x:v>0</x:v>
      </x:c>
      <x:c r="AO16" t="n">
        <x:f>R16-Q16</x:f>
        <x:v>0</x:v>
      </x:c>
      <x:c r="AP16" t="n">
        <x:f>AB16-AA16</x:f>
        <x:v>0</x:v>
      </x:c>
      <x:c r="AQ16" t="n">
        <x:f>AD16-AC16</x:f>
        <x:v>0</x:v>
      </x:c>
      <x:c r="AR16" t="n">
        <x:f>IF(AO16&gt;0,1,0)</x:f>
        <x:v>0</x:v>
      </x:c>
      <x:c r="AS16" t="n">
        <x:f>IF(AP16&gt;0,1,0)</x:f>
        <x:v>0</x:v>
      </x:c>
      <x:c r="AT16" t="n">
        <x:f>IF(AQ16&gt;0,1,0)</x:f>
        <x:v>0</x:v>
      </x:c>
    </x:row>
    <x:row r="17">
      <x:c r="A17" t="str">
        <x:v>sin_K3_C5</x:v>
      </x:c>
      <x:c r="B17" t="n">
        <x:v>0</x:v>
      </x:c>
      <x:c r="C17" t="str">
        <x:v>phase_c_new</x:v>
      </x:c>
      <x:c r="D17" s="16" t="n">
        <x:v>0.6622375249862671</x:v>
      </x:c>
      <x:c r="E17" s="16" t="n">
        <x:v>0.6964934468269348</x:v>
      </x:c>
      <x:c r="F17" s="16" t="n">
        <x:v>0.7030209302902222</x:v>
      </x:c>
      <x:c r="G17" s="16" t="n">
        <x:f>F17-E17</x:f>
        <x:v>0.0065274834632873535</x:v>
      </x:c>
      <x:c r="H17" s="16" t="n">
        <x:f>F17-D17</x:f>
        <x:v>0.04078340530395508</x:v>
      </x:c>
      <x:c r="I17" t="n">
        <x:f>IF(F17&lt;E17,1,0)</x:f>
        <x:v>0</x:v>
      </x:c>
      <x:c r="J17" t="n">
        <x:f>IF(F17&lt;D17,1,0)</x:f>
        <x:v>0</x:v>
      </x:c>
      <x:c r="K17" s="17" t="n">
        <x:v>0.9916666666666667</x:v>
      </x:c>
      <x:c r="L17" s="17" t="n">
        <x:v>0.9758861326332029</x:v>
      </x:c>
      <x:c r="M17" t="n">
        <x:v>50</x:v>
      </x:c>
      <x:c r="N17" t="n">
        <x:v>53</x:v>
      </x:c>
      <x:c r="O17" s="16" t="n">
        <x:v>1.2576180696487427</x:v>
      </x:c>
      <x:c r="P17" s="16" t="n">
        <x:v>1.264279842376709</x:v>
      </x:c>
      <x:c r="Q17" s="16" t="n">
        <x:v>1</x:v>
      </x:c>
      <x:c r="R17" s="16" t="n">
        <x:v>1</x:v>
      </x:c>
      <x:c r="S17" s="16" t="n">
        <x:v>0.384155778682</x:v>
      </x:c>
      <x:c r="T17" s="16" t="n">
        <x:v>0.49530071362828</x:v>
      </x:c>
      <x:c r="U17" t="str">
        <x:v>[0.32788838257882014,0.32507416260744687,0.3470375021006464]</x:v>
      </x:c>
      <x:c r="V17" t="str">
        <x:v>[0.3297776188951801,0.327051887865751,0.34317050216798395]</x:v>
      </x:c>
      <x:c r="W17" s="16" t="n">
        <x:v>0.32507416260744687</x:v>
      </x:c>
      <x:c r="X17" s="16" t="n">
        <x:v>0.327051887865751</x:v>
      </x:c>
      <x:c r="Y17" s="16" t="n">
        <x:v>312.0711669921875</x:v>
      </x:c>
      <x:c r="Z17" s="16" t="n">
        <x:v>312.4622497558594</x:v>
      </x:c>
      <x:c r="AA17" s="16" t="n">
        <x:v>0.9916666666666667</x:v>
      </x:c>
      <x:c r="AB17" s="16" t="n">
        <x:v>0.9916666666666667</x:v>
      </x:c>
      <x:c r="AC17" s="16" t="n">
        <x:v>0.9916666666666667</x:v>
      </x:c>
      <x:c r="AD17" s="16" t="n">
        <x:v>0.9916666666666667</x:v>
      </x:c>
      <x:c r="AE17" s="16" t="n">
        <x:v>0.9758861326332029</x:v>
      </x:c>
      <x:c r="AF17" s="16" t="n">
        <x:v>0.9758861326332029</x:v>
      </x:c>
      <x:c r="AG17" s="16" t="n">
        <x:v>0.9758861326332029</x:v>
      </x:c>
      <x:c r="AH17" s="16" t="n">
        <x:v>0.9758861326332029</x:v>
      </x:c>
      <x:c r="AI17" t="n">
        <x:f>IF(W17&lt;'Protocol'!$B$8,1,0)</x:f>
        <x:v>0</x:v>
      </x:c>
      <x:c r="AJ17" t="n">
        <x:f>IF(X17&lt;'Protocol'!$B$8,1,0)</x:f>
        <x:v>0</x:v>
      </x:c>
      <x:c r="AK17" t="n">
        <x:f>IF(AND(AI17=1,AJ17=0),1,0)</x:f>
        <x:v>0</x:v>
      </x:c>
      <x:c r="AL17" t="n">
        <x:f>IF(AND(AJ17=1,AI17=0),1,0)</x:f>
        <x:v>0</x:v>
      </x:c>
      <x:c r="AM17" t="n">
        <x:f>IF(Q17&lt;'Protocol'!$B$9,1,0)</x:f>
        <x:v>0</x:v>
      </x:c>
      <x:c r="AN17" t="n">
        <x:f>IF(R17&lt;'Protocol'!$B$9,1,0)</x:f>
        <x:v>0</x:v>
      </x:c>
      <x:c r="AO17" t="n">
        <x:f>R17-Q17</x:f>
        <x:v>0</x:v>
      </x:c>
      <x:c r="AP17" t="n">
        <x:f>AB17-AA17</x:f>
        <x:v>0</x:v>
      </x:c>
      <x:c r="AQ17" t="n">
        <x:f>AD17-AC17</x:f>
        <x:v>0</x:v>
      </x:c>
      <x:c r="AR17" t="n">
        <x:f>IF(AO17&gt;0,1,0)</x:f>
        <x:v>0</x:v>
      </x:c>
      <x:c r="AS17" t="n">
        <x:f>IF(AP17&gt;0,1,0)</x:f>
        <x:v>0</x:v>
      </x:c>
      <x:c r="AT17" t="n">
        <x:f>IF(AQ17&gt;0,1,0)</x:f>
        <x:v>0</x:v>
      </x:c>
    </x:row>
    <x:row r="18">
      <x:c r="A18" t="str">
        <x:v>sin_K3_C5</x:v>
      </x:c>
      <x:c r="B18" t="n">
        <x:v>1</x:v>
      </x:c>
      <x:c r="C18" t="str">
        <x:v>phase_c_new</x:v>
      </x:c>
      <x:c r="D18" s="16" t="n">
        <x:v>0.6734050512313843</x:v>
      </x:c>
      <x:c r="E18" s="16" t="n">
        <x:v>0.6820207834243774</x:v>
      </x:c>
      <x:c r="F18" s="16" t="n">
        <x:v>0.7075852751731873</x:v>
      </x:c>
      <x:c r="G18" s="16" t="n">
        <x:f>F18-E18</x:f>
        <x:v>0.025564491748809814</x:v>
      </x:c>
      <x:c r="H18" s="16" t="n">
        <x:f>F18-D18</x:f>
        <x:v>0.03418022394180298</x:v>
      </x:c>
      <x:c r="I18" t="n">
        <x:f>IF(F18&lt;E18,1,0)</x:f>
        <x:v>0</x:v>
      </x:c>
      <x:c r="J18" t="n">
        <x:f>IF(F18&lt;D18,1,0)</x:f>
        <x:v>0</x:v>
      </x:c>
      <x:c r="K18" s="17" t="n">
        <x:v>0.9916666666666667</x:v>
      </x:c>
      <x:c r="L18" s="17" t="n">
        <x:v>0.9758861326332029</x:v>
      </x:c>
      <x:c r="M18" t="n">
        <x:v>66</x:v>
      </x:c>
      <x:c r="N18" t="n">
        <x:v>62</x:v>
      </x:c>
      <x:c r="O18" s="16" t="n">
        <x:v>1.2481061220169067</x:v>
      </x:c>
      <x:c r="P18" s="16" t="n">
        <x:v>1.2644078731536865</x:v>
      </x:c>
      <x:c r="Q18" s="16" t="n">
        <x:v>1</x:v>
      </x:c>
      <x:c r="R18" s="16" t="n">
        <x:v>1</x:v>
      </x:c>
      <x:c r="S18" s="16" t="n">
        <x:v>0.28119933174557</x:v>
      </x:c>
      <x:c r="T18" s="16" t="n">
        <x:v>0.53180748891549</x:v>
      </x:c>
      <x:c r="U18" t="str">
        <x:v>[0.32599240356436293,0.335164105722359,0.33884356453566605]</x:v>
      </x:c>
      <x:c r="V18" t="str">
        <x:v>[0.3276599575861693,0.35565812122975204,0.3166819244167087]</x:v>
      </x:c>
      <x:c r="W18" s="16" t="n">
        <x:v>0.32599240356436293</x:v>
      </x:c>
      <x:c r="X18" s="16" t="n">
        <x:v>0.3166819244167087</x:v>
      </x:c>
      <x:c r="Y18" s="16" t="n">
        <x:v>312.95269775390625</x:v>
      </x:c>
      <x:c r="Z18" s="16" t="n">
        <x:v>300.018310546875</x:v>
      </x:c>
      <x:c r="AA18" s="16" t="n">
        <x:v>0.9916666666666667</x:v>
      </x:c>
      <x:c r="AB18" s="16" t="n">
        <x:v>0.9916666666666667</x:v>
      </x:c>
      <x:c r="AC18" s="16" t="n">
        <x:v>0.9916666666666667</x:v>
      </x:c>
      <x:c r="AD18" s="16" t="n">
        <x:v>0.9916666666666667</x:v>
      </x:c>
      <x:c r="AE18" s="16" t="n">
        <x:v>0.9758861326332029</x:v>
      </x:c>
      <x:c r="AF18" s="16" t="n">
        <x:v>0.9758861326332029</x:v>
      </x:c>
      <x:c r="AG18" s="16" t="n">
        <x:v>0.9758861326332029</x:v>
      </x:c>
      <x:c r="AH18" s="16" t="n">
        <x:v>0.9758861326332029</x:v>
      </x:c>
      <x:c r="AI18" t="n">
        <x:f>IF(W18&lt;'Protocol'!$B$8,1,0)</x:f>
        <x:v>0</x:v>
      </x:c>
      <x:c r="AJ18" t="n">
        <x:f>IF(X18&lt;'Protocol'!$B$8,1,0)</x:f>
        <x:v>0</x:v>
      </x:c>
      <x:c r="AK18" t="n">
        <x:f>IF(AND(AI18=1,AJ18=0),1,0)</x:f>
        <x:v>0</x:v>
      </x:c>
      <x:c r="AL18" t="n">
        <x:f>IF(AND(AJ18=1,AI18=0),1,0)</x:f>
        <x:v>0</x:v>
      </x:c>
      <x:c r="AM18" t="n">
        <x:f>IF(Q18&lt;'Protocol'!$B$9,1,0)</x:f>
        <x:v>0</x:v>
      </x:c>
      <x:c r="AN18" t="n">
        <x:f>IF(R18&lt;'Protocol'!$B$9,1,0)</x:f>
        <x:v>0</x:v>
      </x:c>
      <x:c r="AO18" t="n">
        <x:f>R18-Q18</x:f>
        <x:v>0</x:v>
      </x:c>
      <x:c r="AP18" t="n">
        <x:f>AB18-AA18</x:f>
        <x:v>0</x:v>
      </x:c>
      <x:c r="AQ18" t="n">
        <x:f>AD18-AC18</x:f>
        <x:v>0</x:v>
      </x:c>
      <x:c r="AR18" t="n">
        <x:f>IF(AO18&gt;0,1,0)</x:f>
        <x:v>0</x:v>
      </x:c>
      <x:c r="AS18" t="n">
        <x:f>IF(AP18&gt;0,1,0)</x:f>
        <x:v>0</x:v>
      </x:c>
      <x:c r="AT18" t="n">
        <x:f>IF(AQ18&gt;0,1,0)</x:f>
        <x:v>0</x:v>
      </x:c>
    </x:row>
    <x:row r="19">
      <x:c r="A19" t="str">
        <x:v>sin_K3_C5</x:v>
      </x:c>
      <x:c r="B19" t="n">
        <x:v>2</x:v>
      </x:c>
      <x:c r="C19" t="str">
        <x:v>phase_c_new</x:v>
      </x:c>
      <x:c r="D19" s="16" t="n">
        <x:v>0.6607457399368286</x:v>
      </x:c>
      <x:c r="E19" s="16" t="n">
        <x:v>0.7565550804138184</x:v>
      </x:c>
      <x:c r="F19" s="16" t="n">
        <x:v>0.7596193552017212</x:v>
      </x:c>
      <x:c r="G19" s="16" t="n">
        <x:f>F19-E19</x:f>
        <x:v>0.003064274787902832</x:v>
      </x:c>
      <x:c r="H19" s="16" t="n">
        <x:f>F19-D19</x:f>
        <x:v>0.09887361526489258</x:v>
      </x:c>
      <x:c r="I19" t="n">
        <x:f>IF(F19&lt;E19,1,0)</x:f>
        <x:v>0</x:v>
      </x:c>
      <x:c r="J19" t="n">
        <x:f>IF(F19&lt;D19,1,0)</x:f>
        <x:v>0</x:v>
      </x:c>
      <x:c r="K19" s="17" t="n">
        <x:v>0.9916666666666667</x:v>
      </x:c>
      <x:c r="L19" s="17" t="n">
        <x:v>0.9758861326332029</x:v>
      </x:c>
      <x:c r="M19" t="n">
        <x:v>61</x:v>
      </x:c>
      <x:c r="N19" t="n">
        <x:v>61</x:v>
      </x:c>
      <x:c r="O19" s="16" t="n">
        <x:v>1.306973934173584</x:v>
      </x:c>
      <x:c r="P19" s="16" t="n">
        <x:v>1.3136506080627441</x:v>
      </x:c>
      <x:c r="Q19" s="16" t="n">
        <x:v>0.775</x:v>
      </x:c>
      <x:c r="R19" s="16" t="n">
        <x:v>0.8333333333333334</x:v>
      </x:c>
      <x:c r="S19" s="16" t="n">
        <x:v>0.68924336161645</x:v>
      </x:c>
      <x:c r="T19" s="16" t="n">
        <x:v>0.67895050288741</x:v>
      </x:c>
      <x:c r="U19" t="str">
        <x:v>[0.028724462963798353,0.32587758857915533,0.6453979502871894]</x:v>
      </x:c>
      <x:c r="V19" t="str">
        <x:v>[0.09982983934908095,0.325966173226797,0.5742040433179786]</x:v>
      </x:c>
      <x:c r="W19" s="16" t="n">
        <x:v>0.028724462963798353</x:v>
      </x:c>
      <x:c r="X19" s="16" t="n">
        <x:v>0.09982983934908095</x:v>
      </x:c>
      <x:c r="Y19" s="16" t="n">
        <x:v>27.57547950744629</x:v>
      </x:c>
      <x:c r="Z19" s="16" t="n">
        <x:v>39.795814514160156</x:v>
      </x:c>
      <x:c r="AA19" s="16" t="n">
        <x:v>0.775</x:v>
      </x:c>
      <x:c r="AB19" s="16" t="n">
        <x:v>0.8166666666666667</x:v>
      </x:c>
      <x:c r="AC19" s="16" t="n">
        <x:v>0.7916666666666666</x:v>
      </x:c>
      <x:c r="AD19" s="16" t="n">
        <x:v>0.8166666666666667</x:v>
      </x:c>
      <x:c r="AE19" s="16" t="n">
        <x:v>0.5998843363123457</x:v>
      </x:c>
      <x:c r="AF19" s="16" t="n">
        <x:v>0.6328171080350041</x:v>
      </x:c>
      <x:c r="AG19" s="16" t="n">
        <x:v>0.610837484274388</x:v>
      </x:c>
      <x:c r="AH19" s="16" t="n">
        <x:v>0.622153179880683</x:v>
      </x:c>
      <x:c r="AI19" t="n">
        <x:f>IF(W19&lt;'Protocol'!$B$8,1,0)</x:f>
        <x:v>1</x:v>
      </x:c>
      <x:c r="AJ19" t="n">
        <x:f>IF(X19&lt;'Protocol'!$B$8,1,0)</x:f>
        <x:v>0</x:v>
      </x:c>
      <x:c r="AK19" t="n">
        <x:f>IF(AND(AI19=1,AJ19=0),1,0)</x:f>
        <x:v>1</x:v>
      </x:c>
      <x:c r="AL19" t="n">
        <x:f>IF(AND(AJ19=1,AI19=0),1,0)</x:f>
        <x:v>0</x:v>
      </x:c>
      <x:c r="AM19" t="n">
        <x:f>IF(Q19&lt;'Protocol'!$B$9,1,0)</x:f>
        <x:v>1</x:v>
      </x:c>
      <x:c r="AN19" t="n">
        <x:f>IF(R19&lt;'Protocol'!$B$9,1,0)</x:f>
        <x:v>1</x:v>
      </x:c>
      <x:c r="AO19" t="n">
        <x:f>R19-Q19</x:f>
        <x:v>0.05833333333333335</x:v>
      </x:c>
      <x:c r="AP19" t="n">
        <x:f>AB19-AA19</x:f>
        <x:v>0.04166666666666663</x:v>
      </x:c>
      <x:c r="AQ19" t="n">
        <x:f>AD19-AC19</x:f>
        <x:v>0.025000000000000022</x:v>
      </x:c>
      <x:c r="AR19" t="n">
        <x:f>IF(AO19&gt;0,1,0)</x:f>
        <x:v>1</x:v>
      </x:c>
      <x:c r="AS19" t="n">
        <x:f>IF(AP19&gt;0,1,0)</x:f>
        <x:v>1</x:v>
      </x:c>
      <x:c r="AT19" t="n">
        <x:f>IF(AQ19&gt;0,1,0)</x:f>
        <x:v>1</x:v>
      </x:c>
    </x:row>
    <x:row r="20">
      <x:c r="A20" t="str">
        <x:v>sin_K4_C5</x:v>
      </x:c>
      <x:c r="B20" t="n">
        <x:v>0</x:v>
      </x:c>
      <x:c r="C20" t="str">
        <x:v>reused_phase_a_b</x:v>
      </x:c>
      <x:c r="D20" s="16" t="n">
        <x:v>0.8345573544502258</x:v>
      </x:c>
      <x:c r="E20" s="16" t="n">
        <x:v>0.8462865948677063</x:v>
      </x:c>
      <x:c r="F20" s="16" t="n">
        <x:v>0.8495883345603943</x:v>
      </x:c>
      <x:c r="G20" s="16" t="n">
        <x:f>F20-E20</x:f>
        <x:v>0.0033017396926879883</x:v>
      </x:c>
      <x:c r="H20" s="16" t="n">
        <x:f>F20-D20</x:f>
        <x:v>0.015030980110168457</x:v>
      </x:c>
      <x:c r="I20" t="n">
        <x:f>IF(F20&lt;E20,1,0)</x:f>
        <x:v>0</x:v>
      </x:c>
      <x:c r="J20" t="n">
        <x:f>IF(F20&lt;D20,1,0)</x:f>
        <x:v>0</x:v>
      </x:c>
      <x:c r="K20" s="17" t="n">
        <x:v>0.9625</x:v>
      </x:c>
      <x:c r="L20" s="17" t="n">
        <x:v>0.8998606601360304</x:v>
      </x:c>
      <x:c r="M20" t="n">
        <x:v>57</x:v>
      </x:c>
      <x:c r="N20" t="n">
        <x:v>72</x:v>
      </x:c>
      <x:c r="O20" s="16" t="n">
        <x:v>1.3714244365692139</x:v>
      </x:c>
      <x:c r="P20" s="16" t="n">
        <x:v>1.3762784004211426</x:v>
      </x:c>
      <x:c r="Q20" s="16" t="n">
        <x:v>0.8125</x:v>
      </x:c>
      <x:c r="R20" s="16" t="n">
        <x:v>0.81875</x:v>
      </x:c>
      <x:c r="S20" s="16" t="n">
        <x:v>0.45255517085215</x:v>
      </x:c>
      <x:c r="T20" s="16" t="n">
        <x:v>0.56325664682032</x:v>
      </x:c>
      <x:c r="U20" t="str">
        <x:v>[0.030037673373441147,0.24018975157713512,0.4737865525925151,0.25598603319140684]</x:v>
      </x:c>
      <x:c r="V20" t="str">
        <x:v>[0.15250143704586766,0.2420054603655785,0.35062746498109576,0.25486568949730953]</x:v>
      </x:c>
      <x:c r="W20" s="16" t="n">
        <x:v>0.030037673373441147</x:v>
      </x:c>
      <x:c r="X20" s="16" t="n">
        <x:v>0.15250143704586766</x:v>
      </x:c>
      <x:c r="Y20" s="16" t="n">
        <x:v>38.44822311401367</x:v>
      </x:c>
      <x:c r="Z20" s="16" t="n">
        <x:v>164.00228881835938</x:v>
      </x:c>
      <x:c r="AA20" s="16" t="n">
        <x:v>0.76875</x:v>
      </x:c>
      <x:c r="AB20" s="16" t="n">
        <x:v>0.80625</x:v>
      </x:c>
      <x:c r="AC20" s="16" t="n">
        <x:v>0.775</x:v>
      </x:c>
      <x:c r="AD20" s="16" t="n">
        <x:v>0.8125</x:v>
      </x:c>
      <x:c r="AE20" s="16" t="n">
        <x:v>0.6576350427301614</x:v>
      </x:c>
      <x:c r="AF20" s="16" t="n">
        <x:v>0.6580632565439801</x:v>
      </x:c>
      <x:c r="AG20" s="16" t="n">
        <x:v>0.6641611772180065</x:v>
      </x:c>
      <x:c r="AH20" s="16" t="n">
        <x:v>0.6589748980181392</x:v>
      </x:c>
      <x:c r="AI20" t="n">
        <x:f>IF(W20&lt;'Protocol'!$B$8,1,0)</x:f>
        <x:v>1</x:v>
      </x:c>
      <x:c r="AJ20" t="n">
        <x:f>IF(X20&lt;'Protocol'!$B$8,1,0)</x:f>
        <x:v>0</x:v>
      </x:c>
      <x:c r="AK20" t="n">
        <x:f>IF(AND(AI20=1,AJ20=0),1,0)</x:f>
        <x:v>1</x:v>
      </x:c>
      <x:c r="AL20" t="n">
        <x:f>IF(AND(AJ20=1,AI20=0),1,0)</x:f>
        <x:v>0</x:v>
      </x:c>
      <x:c r="AM20" t="n">
        <x:f>IF(Q20&lt;'Protocol'!$B$9,1,0)</x:f>
        <x:v>1</x:v>
      </x:c>
      <x:c r="AN20" t="n">
        <x:f>IF(R20&lt;'Protocol'!$B$9,1,0)</x:f>
        <x:v>1</x:v>
      </x:c>
      <x:c r="AO20" t="n">
        <x:f>R20-Q20</x:f>
        <x:v>0.006249999999999978</x:v>
      </x:c>
      <x:c r="AP20" t="n">
        <x:f>AB20-AA20</x:f>
        <x:v>0.03749999999999998</x:v>
      </x:c>
      <x:c r="AQ20" t="n">
        <x:f>AD20-AC20</x:f>
        <x:v>0.03749999999999998</x:v>
      </x:c>
      <x:c r="AR20" t="n">
        <x:f>IF(AO20&gt;0,1,0)</x:f>
        <x:v>1</x:v>
      </x:c>
      <x:c r="AS20" t="n">
        <x:f>IF(AP20&gt;0,1,0)</x:f>
        <x:v>1</x:v>
      </x:c>
      <x:c r="AT20" t="n">
        <x:f>IF(AQ20&gt;0,1,0)</x:f>
        <x:v>1</x:v>
      </x:c>
    </x:row>
    <x:row r="21">
      <x:c r="A21" t="str">
        <x:v>sin_K4_C5</x:v>
      </x:c>
      <x:c r="B21" t="n">
        <x:v>1</x:v>
      </x:c>
      <x:c r="C21" t="str">
        <x:v>reused_phase_a_b</x:v>
      </x:c>
      <x:c r="D21" s="16" t="n">
        <x:v>0.8323823809623718</x:v>
      </x:c>
      <x:c r="E21" s="16" t="n">
        <x:v>0.8500586152076721</x:v>
      </x:c>
      <x:c r="F21" s="16" t="n">
        <x:v>0.837410569190979</x:v>
      </x:c>
      <x:c r="G21" s="16" t="n">
        <x:f>F21-E21</x:f>
        <x:v>-0.012648046016693115</x:v>
      </x:c>
      <x:c r="H21" s="16" t="n">
        <x:f>F21-D21</x:f>
        <x:v>0.005028188228607178</x:v>
      </x:c>
      <x:c r="I21" t="n">
        <x:f>IF(F21&lt;E21,1,0)</x:f>
        <x:v>1</x:v>
      </x:c>
      <x:c r="J21" t="n">
        <x:f>IF(F21&lt;D21,1,0)</x:f>
        <x:v>0</x:v>
      </x:c>
      <x:c r="K21" s="17" t="n">
        <x:v>0.9625</x:v>
      </x:c>
      <x:c r="L21" s="17" t="n">
        <x:v>0.9003247097492446</x:v>
      </x:c>
      <x:c r="M21" t="n">
        <x:v>60</x:v>
      </x:c>
      <x:c r="N21" t="n">
        <x:v>62</x:v>
      </x:c>
      <x:c r="O21" s="16" t="n">
        <x:v>1.366814374923706</x:v>
      </x:c>
      <x:c r="P21" s="16" t="n">
        <x:v>1.3628768920898438</x:v>
      </x:c>
      <x:c r="Q21" s="16" t="n">
        <x:v>0.8625</x:v>
      </x:c>
      <x:c r="R21" s="16" t="n">
        <x:v>0.9625</x:v>
      </x:c>
      <x:c r="S21" s="16" t="n">
        <x:v>0.15357554865231</x:v>
      </x:c>
      <x:c r="T21" s="16" t="n">
        <x:v>0.11649678447899</x:v>
      </x:c>
      <x:c r="U21" t="str">
        <x:v>[0.21601680825243572,0.45299773648464603,0.09110477702024684,0.23988065858733096]</x:v>
      </x:c>
      <x:c r="V21" t="str">
        <x:v>[0.238477625631758,0.2681543883156602,0.2514759177174328,0.24189205150311696]</x:v>
      </x:c>
      <x:c r="W21" s="16" t="n">
        <x:v>0.09110477702024684</x:v>
      </x:c>
      <x:c r="X21" s="16" t="n">
        <x:v>0.238477625631758</x:v>
      </x:c>
      <x:c r="Y21" s="16" t="n">
        <x:v>116.61412048339844</x:v>
      </x:c>
      <x:c r="Z21" s="16" t="n">
        <x:v>301.564208984375</x:v>
      </x:c>
      <x:c r="AA21" s="16" t="n">
        <x:v>0.83125</x:v>
      </x:c>
      <x:c r="AB21" s="16" t="n">
        <x:v>0.94375</x:v>
      </x:c>
      <x:c r="AC21" s="16" t="n">
        <x:v>0.825</x:v>
      </x:c>
      <x:c r="AD21" s="16" t="n">
        <x:v>0.94375</x:v>
      </x:c>
      <x:c r="AE21" s="16" t="n">
        <x:v>0.6435660657698041</x:v>
      </x:c>
      <x:c r="AF21" s="16" t="n">
        <x:v>0.8473508612366842</x:v>
      </x:c>
      <x:c r="AG21" s="16" t="n">
        <x:v>0.6373430523645142</x:v>
      </x:c>
      <x:c r="AH21" s="16" t="n">
        <x:v>0.8473508612366842</x:v>
      </x:c>
      <x:c r="AI21" t="n">
        <x:f>IF(W21&lt;'Protocol'!$B$8,1,0)</x:f>
        <x:v>0</x:v>
      </x:c>
      <x:c r="AJ21" t="n">
        <x:f>IF(X21&lt;'Protocol'!$B$8,1,0)</x:f>
        <x:v>0</x:v>
      </x:c>
      <x:c r="AK21" t="n">
        <x:f>IF(AND(AI21=1,AJ21=0),1,0)</x:f>
        <x:v>0</x:v>
      </x:c>
      <x:c r="AL21" t="n">
        <x:f>IF(AND(AJ21=1,AI21=0),1,0)</x:f>
        <x:v>0</x:v>
      </x:c>
      <x:c r="AM21" t="n">
        <x:f>IF(Q21&lt;'Protocol'!$B$9,1,0)</x:f>
        <x:v>1</x:v>
      </x:c>
      <x:c r="AN21" t="n">
        <x:f>IF(R21&lt;'Protocol'!$B$9,1,0)</x:f>
        <x:v>0</x:v>
      </x:c>
      <x:c r="AO21" t="n">
        <x:f>R21-Q21</x:f>
        <x:v>0.09999999999999998</x:v>
      </x:c>
      <x:c r="AP21" t="n">
        <x:f>AB21-AA21</x:f>
        <x:v>0.11249999999999993</x:v>
      </x:c>
      <x:c r="AQ21" t="n">
        <x:f>AD21-AC21</x:f>
        <x:v>0.11875000000000002</x:v>
      </x:c>
      <x:c r="AR21" t="n">
        <x:f>IF(AO21&gt;0,1,0)</x:f>
        <x:v>1</x:v>
      </x:c>
      <x:c r="AS21" t="n">
        <x:f>IF(AP21&gt;0,1,0)</x:f>
        <x:v>1</x:v>
      </x:c>
      <x:c r="AT21" t="n">
        <x:f>IF(AQ21&gt;0,1,0)</x:f>
        <x:v>1</x:v>
      </x:c>
    </x:row>
    <x:row r="22">
      <x:c r="A22" t="str">
        <x:v>sin_K4_C5</x:v>
      </x:c>
      <x:c r="B22" t="n">
        <x:v>2</x:v>
      </x:c>
      <x:c r="C22" t="str">
        <x:v>reused_phase_a_b</x:v>
      </x:c>
      <x:c r="D22" s="16" t="n">
        <x:v>0.8337138891220093</x:v>
      </x:c>
      <x:c r="E22" s="16" t="n">
        <x:v>0.8782943487167358</x:v>
      </x:c>
      <x:c r="F22" s="16" t="n">
        <x:v>0.8520147800445557</x:v>
      </x:c>
      <x:c r="G22" s="16" t="n">
        <x:f>F22-E22</x:f>
        <x:v>-0.026279568672180176</x:v>
      </x:c>
      <x:c r="H22" s="16" t="n">
        <x:f>F22-D22</x:f>
        <x:v>0.018300890922546387</x:v>
      </x:c>
      <x:c r="I22" t="n">
        <x:f>IF(F22&lt;E22,1,0)</x:f>
        <x:v>1</x:v>
      </x:c>
      <x:c r="J22" t="n">
        <x:f>IF(F22&lt;D22,1,0)</x:f>
        <x:v>0</x:v>
      </x:c>
      <x:c r="K22" s="17" t="n">
        <x:v>0.8875</x:v>
      </x:c>
      <x:c r="L22" s="17" t="n">
        <x:v>0.7484255290137292</x:v>
      </x:c>
      <x:c r="M22" t="n">
        <x:v>26</x:v>
      </x:c>
      <x:c r="N22" t="n">
        <x:v>74</x:v>
      </x:c>
      <x:c r="O22" s="16" t="n">
        <x:v>1.3920831680297852</x:v>
      </x:c>
      <x:c r="P22" s="16" t="n">
        <x:v>1.3795510530471802</x:v>
      </x:c>
      <x:c r="Q22" s="16" t="n">
        <x:v>0.8</x:v>
      </x:c>
      <x:c r="R22" s="16" t="n">
        <x:v>0.925</x:v>
      </x:c>
      <x:c r="S22" s="16" t="n">
        <x:v>0.25019590966514</x:v>
      </x:c>
      <x:c r="T22" s="16" t="n">
        <x:v>0.4808757349758</x:v>
      </x:c>
      <x:c r="U22" t="str">
        <x:v>[0.3243723500605142,0.40090521391740613,0.24004139335459104,0.034681003006949894]</x:v>
      </x:c>
      <x:c r="V22" t="str">
        <x:v>[0.2819883487425052,0.23004567217811267,0.2418324841180668,0.24613355606530615]</x:v>
      </x:c>
      <x:c r="W22" s="16" t="n">
        <x:v>0.034681003006949894</x:v>
      </x:c>
      <x:c r="X22" s="16" t="n">
        <x:v>0.23004567217811267</x:v>
      </x:c>
      <x:c r="Y22" s="16" t="n">
        <x:v>44.39167785644531</x:v>
      </x:c>
      <x:c r="Z22" s="16" t="n">
        <x:v>288.07305908203125</x:v>
      </x:c>
      <x:c r="AA22" s="16" t="n">
        <x:v>0.79375</x:v>
      </x:c>
      <x:c r="AB22" s="16" t="n">
        <x:v>0.9125</x:v>
      </x:c>
      <x:c r="AC22" s="16" t="n">
        <x:v>0.79375</x:v>
      </x:c>
      <x:c r="AD22" s="16" t="n">
        <x:v>0.925</x:v>
      </x:c>
      <x:c r="AE22" s="16" t="n">
        <x:v>0.6360758130357411</x:v>
      </x:c>
      <x:c r="AF22" s="16" t="n">
        <x:v>0.790086519215485</x:v>
      </x:c>
      <x:c r="AG22" s="16" t="n">
        <x:v>0.6360758130357411</x:v>
      </x:c>
      <x:c r="AH22" s="16" t="n">
        <x:v>0.8157279550996607</x:v>
      </x:c>
      <x:c r="AI22" t="n">
        <x:f>IF(W22&lt;'Protocol'!$B$8,1,0)</x:f>
        <x:v>1</x:v>
      </x:c>
      <x:c r="AJ22" t="n">
        <x:f>IF(X22&lt;'Protocol'!$B$8,1,0)</x:f>
        <x:v>0</x:v>
      </x:c>
      <x:c r="AK22" t="n">
        <x:f>IF(AND(AI22=1,AJ22=0),1,0)</x:f>
        <x:v>1</x:v>
      </x:c>
      <x:c r="AL22" t="n">
        <x:f>IF(AND(AJ22=1,AI22=0),1,0)</x:f>
        <x:v>0</x:v>
      </x:c>
      <x:c r="AM22" t="n">
        <x:f>IF(Q22&lt;'Protocol'!$B$9,1,0)</x:f>
        <x:v>1</x:v>
      </x:c>
      <x:c r="AN22" t="n">
        <x:f>IF(R22&lt;'Protocol'!$B$9,1,0)</x:f>
        <x:v>0</x:v>
      </x:c>
      <x:c r="AO22" t="n">
        <x:f>R22-Q22</x:f>
        <x:v>0.125</x:v>
      </x:c>
      <x:c r="AP22" t="n">
        <x:f>AB22-AA22</x:f>
        <x:v>0.11875000000000002</x:v>
      </x:c>
      <x:c r="AQ22" t="n">
        <x:f>AD22-AC22</x:f>
        <x:v>0.1312500000000001</x:v>
      </x:c>
      <x:c r="AR22" t="n">
        <x:f>IF(AO22&gt;0,1,0)</x:f>
        <x:v>1</x:v>
      </x:c>
      <x:c r="AS22" t="n">
        <x:f>IF(AP22&gt;0,1,0)</x:f>
        <x:v>1</x:v>
      </x:c>
      <x:c r="AT22" t="n">
        <x:f>IF(AQ22&gt;0,1,0)</x:f>
        <x:v>1</x:v>
      </x:c>
    </x:row>
    <x:row r="23">
      <x:c r="A23" t="str">
        <x:v>sin_K5_C5</x:v>
      </x:c>
      <x:c r="B23" t="n">
        <x:v>0</x:v>
      </x:c>
      <x:c r="C23" t="str">
        <x:v>phase_c_new</x:v>
      </x:c>
      <x:c r="D23" s="16" t="n">
        <x:v>3.046510934829712</x:v>
      </x:c>
      <x:c r="E23" s="16" t="n">
        <x:v>3.0090620517730713</x:v>
      </x:c>
      <x:c r="F23" s="16" t="n">
        <x:v>3.014692783355713</x:v>
      </x:c>
      <x:c r="G23" s="16" t="n">
        <x:f>F23-E23</x:f>
        <x:v>0.0056307315826416016</x:v>
      </x:c>
      <x:c r="H23" s="16" t="n">
        <x:f>F23-D23</x:f>
        <x:v>-0.03181815147399902</x:v>
      </x:c>
      <x:c r="I23" t="n">
        <x:f>IF(F23&lt;E23,1,0)</x:f>
        <x:v>0</x:v>
      </x:c>
      <x:c r="J23" t="n">
        <x:f>IF(F23&lt;D23,1,0)</x:f>
        <x:v>1</x:v>
      </x:c>
      <x:c r="K23" s="17" t="n">
        <x:v>0.78</x:v>
      </x:c>
      <x:c r="L23" s="17" t="n">
        <x:v>0.701050326519861</x:v>
      </x:c>
      <x:c r="M23" t="n">
        <x:v>70</x:v>
      </x:c>
      <x:c r="N23" t="n">
        <x:v>74</x:v>
      </x:c>
      <x:c r="O23" s="16" t="n">
        <x:v>2.7120180130004883</x:v>
      </x:c>
      <x:c r="P23" s="16" t="n">
        <x:v>2.709538459777832</x:v>
      </x:c>
      <x:c r="Q23" s="16" t="n">
        <x:v>0.96</x:v>
      </x:c>
      <x:c r="R23" s="16" t="n">
        <x:v>0.97</x:v>
      </x:c>
      <x:c r="S23" s="16" t="n">
        <x:v>0.32310108976079</x:v>
      </x:c>
      <x:c r="T23" s="16" t="n">
        <x:v>0.20399860633044</x:v>
      </x:c>
      <x:c r="U23" t="str">
        <x:v>[0.20331568584063403,0.19610188253949465,0.194642526539582,0.1995080272884236,0.20643188479955712]</x:v>
      </x:c>
      <x:c r="V23" t="str">
        <x:v>[0.20265825278994995,0.200985748872873,0.19685055917337668,0.19461074075491974,0.20489467770860467]</x:v>
      </x:c>
      <x:c r="W23" s="16" t="n">
        <x:v>0.194642526539582</x:v>
      </x:c>
      <x:c r="X23" s="16" t="n">
        <x:v>0.19461074075491974</x:v>
      </x:c>
      <x:c r="Y23" s="16" t="n">
        <x:v>311.42803955078125</x:v>
      </x:c>
      <x:c r="Z23" s="16" t="n">
        <x:v>309.22149658203125</x:v>
      </x:c>
      <x:c r="AA23" s="16" t="n">
        <x:v>0.985</x:v>
      </x:c>
      <x:c r="AB23" s="16" t="n">
        <x:v>0.99</x:v>
      </x:c>
      <x:c r="AC23" s="16" t="n">
        <x:v>0.985</x:v>
      </x:c>
      <x:c r="AD23" s="16" t="n">
        <x:v>0.985</x:v>
      </x:c>
      <x:c r="AE23" s="16" t="n">
        <x:v>0.961223077707387</x:v>
      </x:c>
      <x:c r="AF23" s="16" t="n">
        <x:v>0.9734778362864706</x:v>
      </x:c>
      <x:c r="AG23" s="16" t="n">
        <x:v>0.961223077707387</x:v>
      </x:c>
      <x:c r="AH23" s="16" t="n">
        <x:v>0.961223077707387</x:v>
      </x:c>
      <x:c r="AI23" t="n">
        <x:f>IF(W23&lt;'Protocol'!$B$8,1,0)</x:f>
        <x:v>0</x:v>
      </x:c>
      <x:c r="AJ23" t="n">
        <x:f>IF(X23&lt;'Protocol'!$B$8,1,0)</x:f>
        <x:v>0</x:v>
      </x:c>
      <x:c r="AK23" t="n">
        <x:f>IF(AND(AI23=1,AJ23=0),1,0)</x:f>
        <x:v>0</x:v>
      </x:c>
      <x:c r="AL23" t="n">
        <x:f>IF(AND(AJ23=1,AI23=0),1,0)</x:f>
        <x:v>0</x:v>
      </x:c>
      <x:c r="AM23" t="n">
        <x:f>IF(Q23&lt;'Protocol'!$B$9,1,0)</x:f>
        <x:v>0</x:v>
      </x:c>
      <x:c r="AN23" t="n">
        <x:f>IF(R23&lt;'Protocol'!$B$9,1,0)</x:f>
        <x:v>0</x:v>
      </x:c>
      <x:c r="AO23" t="n">
        <x:f>R23-Q23</x:f>
        <x:v>0.010000000000000009</x:v>
      </x:c>
      <x:c r="AP23" t="n">
        <x:f>AB23-AA23</x:f>
        <x:v>0.0050000000000000044</x:v>
      </x:c>
      <x:c r="AQ23" t="n">
        <x:f>AD23-AC23</x:f>
        <x:v>0</x:v>
      </x:c>
      <x:c r="AR23" t="n">
        <x:f>IF(AO23&gt;0,1,0)</x:f>
        <x:v>1</x:v>
      </x:c>
      <x:c r="AS23" t="n">
        <x:f>IF(AP23&gt;0,1,0)</x:f>
        <x:v>1</x:v>
      </x:c>
      <x:c r="AT23" t="n">
        <x:f>IF(AQ23&gt;0,1,0)</x:f>
        <x:v>0</x:v>
      </x:c>
    </x:row>
    <x:row r="24">
      <x:c r="A24" t="str">
        <x:v>sin_K5_C5</x:v>
      </x:c>
      <x:c r="B24" t="n">
        <x:v>1</x:v>
      </x:c>
      <x:c r="C24" t="str">
        <x:v>phase_c_new</x:v>
      </x:c>
      <x:c r="D24" s="16" t="n">
        <x:v>3.049424409866333</x:v>
      </x:c>
      <x:c r="E24" s="16" t="n">
        <x:v>3.017014265060425</x:v>
      </x:c>
      <x:c r="F24" s="16" t="n">
        <x:v>3.02180814743042</x:v>
      </x:c>
      <x:c r="G24" s="16" t="n">
        <x:f>F24-E24</x:f>
        <x:v>0.004793882369995117</x:v>
      </x:c>
      <x:c r="H24" s="16" t="n">
        <x:f>F24-D24</x:f>
        <x:v>-0.027616262435913086</x:v>
      </x:c>
      <x:c r="I24" t="n">
        <x:f>IF(F24&lt;E24,1,0)</x:f>
        <x:v>0</x:v>
      </x:c>
      <x:c r="J24" t="n">
        <x:f>IF(F24&lt;D24,1,0)</x:f>
        <x:v>1</x:v>
      </x:c>
      <x:c r="K24" s="17" t="n">
        <x:v>0.775</x:v>
      </x:c>
      <x:c r="L24" s="17" t="n">
        <x:v>0.6661594717903253</x:v>
      </x:c>
      <x:c r="M24" t="n">
        <x:v>72</x:v>
      </x:c>
      <x:c r="N24" t="n">
        <x:v>73</x:v>
      </x:c>
      <x:c r="O24" s="16" t="n">
        <x:v>2.715951919555664</x:v>
      </x:c>
      <x:c r="P24" s="16" t="n">
        <x:v>2.7175650596618652</x:v>
      </x:c>
      <x:c r="Q24" s="16" t="n">
        <x:v>0.975</x:v>
      </x:c>
      <x:c r="R24" s="16" t="n">
        <x:v>0.965</x:v>
      </x:c>
      <x:c r="S24" s="16" t="n">
        <x:v>0.1951348501388</x:v>
      </x:c>
      <x:c r="T24" s="16" t="n">
        <x:v>0.20046513307386</x:v>
      </x:c>
      <x:c r="U24" t="str">
        <x:v>[0.19509400347548642,0.20729782689696574,0.1950444955678571,0.1965728659359265,0.20599087828514243]</x:v>
      </x:c>
      <x:c r="V24" t="str">
        <x:v>[0.20185134271164332,0.20538491823154947,0.20023762378343024,0.188328035087696,0.20419808116718732]</x:v>
      </x:c>
      <x:c r="W24" s="16" t="n">
        <x:v>0.1950444955678571</x:v>
      </x:c>
      <x:c r="X24" s="16" t="n">
        <x:v>0.188328035087696</x:v>
      </x:c>
      <x:c r="Y24" s="16" t="n">
        <x:v>312.0711669921875</x:v>
      </x:c>
      <x:c r="Z24" s="16" t="n">
        <x:v>296.6560974121094</x:v>
      </x:c>
      <x:c r="AA24" s="16" t="n">
        <x:v>0.995</x:v>
      </x:c>
      <x:c r="AB24" s="16" t="n">
        <x:v>0.995</x:v>
      </x:c>
      <x:c r="AC24" s="16" t="n">
        <x:v>0.995</x:v>
      </x:c>
      <x:c r="AD24" s="16" t="n">
        <x:v>0.99</x:v>
      </x:c>
      <x:c r="AE24" s="16" t="n">
        <x:v>0.9865720939868003</x:v>
      </x:c>
      <x:c r="AF24" s="16" t="n">
        <x:v>0.9880041638020169</x:v>
      </x:c>
      <x:c r="AG24" s="16" t="n">
        <x:v>0.9865720939868003</x:v>
      </x:c>
      <x:c r="AH24" s="16" t="n">
        <x:v>0.974444532030376</x:v>
      </x:c>
      <x:c r="AI24" t="n">
        <x:f>IF(W24&lt;'Protocol'!$B$8,1,0)</x:f>
        <x:v>0</x:v>
      </x:c>
      <x:c r="AJ24" t="n">
        <x:f>IF(X24&lt;'Protocol'!$B$8,1,0)</x:f>
        <x:v>0</x:v>
      </x:c>
      <x:c r="AK24" t="n">
        <x:f>IF(AND(AI24=1,AJ24=0),1,0)</x:f>
        <x:v>0</x:v>
      </x:c>
      <x:c r="AL24" t="n">
        <x:f>IF(AND(AJ24=1,AI24=0),1,0)</x:f>
        <x:v>0</x:v>
      </x:c>
      <x:c r="AM24" t="n">
        <x:f>IF(Q24&lt;'Protocol'!$B$9,1,0)</x:f>
        <x:v>0</x:v>
      </x:c>
      <x:c r="AN24" t="n">
        <x:f>IF(R24&lt;'Protocol'!$B$9,1,0)</x:f>
        <x:v>0</x:v>
      </x:c>
      <x:c r="AO24" t="n">
        <x:f>R24-Q24</x:f>
        <x:v>-0.010000000000000009</x:v>
      </x:c>
      <x:c r="AP24" t="n">
        <x:f>AB24-AA24</x:f>
        <x:v>0</x:v>
      </x:c>
      <x:c r="AQ24" t="n">
        <x:f>AD24-AC24</x:f>
        <x:v>-0.0050000000000000044</x:v>
      </x:c>
      <x:c r="AR24" t="n">
        <x:f>IF(AO24&gt;0,1,0)</x:f>
        <x:v>0</x:v>
      </x:c>
      <x:c r="AS24" t="n">
        <x:f>IF(AP24&gt;0,1,0)</x:f>
        <x:v>0</x:v>
      </x:c>
      <x:c r="AT24" t="n">
        <x:f>IF(AQ24&gt;0,1,0)</x:f>
        <x:v>0</x:v>
      </x:c>
    </x:row>
    <x:row r="25">
      <x:c r="A25" t="str">
        <x:v>sin_K5_C5</x:v>
      </x:c>
      <x:c r="B25" t="n">
        <x:v>2</x:v>
      </x:c>
      <x:c r="C25" t="str">
        <x:v>phase_c_new</x:v>
      </x:c>
      <x:c r="D25" s="16" t="n">
        <x:v>3.0544300079345703</x:v>
      </x:c>
      <x:c r="E25" s="16" t="n">
        <x:v>3.018782615661621</x:v>
      </x:c>
      <x:c r="F25" s="16" t="n">
        <x:v>3.024773359298706</x:v>
      </x:c>
      <x:c r="G25" s="16" t="n">
        <x:f>F25-E25</x:f>
        <x:v>0.005990743637084961</x:v>
      </x:c>
      <x:c r="H25" s="16" t="n">
        <x:f>F25-D25</x:f>
        <x:v>-0.029656648635864258</x:v>
      </x:c>
      <x:c r="I25" t="n">
        <x:f>IF(F25&lt;E25,1,0)</x:f>
        <x:v>0</x:v>
      </x:c>
      <x:c r="J25" t="n">
        <x:f>IF(F25&lt;D25,1,0)</x:f>
        <x:v>1</x:v>
      </x:c>
      <x:c r="K25" s="17" t="n">
        <x:v>0.78</x:v>
      </x:c>
      <x:c r="L25" s="17" t="n">
        <x:v>0.7066075644821148</x:v>
      </x:c>
      <x:c r="M25" t="n">
        <x:v>74</x:v>
      </x:c>
      <x:c r="N25" t="n">
        <x:v>66</x:v>
      </x:c>
      <x:c r="O25" s="16" t="n">
        <x:v>2.72108793258667</x:v>
      </x:c>
      <x:c r="P25" s="16" t="n">
        <x:v>2.7216413021087646</x:v>
      </x:c>
      <x:c r="Q25" s="16" t="n">
        <x:v>0.955</x:v>
      </x:c>
      <x:c r="R25" s="16" t="n">
        <x:v>0.96</x:v>
      </x:c>
      <x:c r="S25" s="16" t="n">
        <x:v>0.28045654943404</x:v>
      </x:c>
      <x:c r="T25" s="16" t="n">
        <x:v>0.18449953488103</x:v>
      </x:c>
      <x:c r="U25" t="str">
        <x:v>[0.20779250444990205,0.20537534529268947,0.21494198324429659,0.1957185215646444,0.17617163953458315]</x:v>
      </x:c>
      <x:c r="V25" t="str">
        <x:v>[0.19777693340729,0.20504868853590016,0.2024830809943354,0.1964490364693827,0.19824227396563815]</x:v>
      </x:c>
      <x:c r="W25" s="16" t="n">
        <x:v>0.17617163953458315</x:v>
      </x:c>
      <x:c r="X25" s="16" t="n">
        <x:v>0.1964490364693827</x:v>
      </x:c>
      <x:c r="Y25" s="16" t="n">
        <x:v>281.8746337890625</x:v>
      </x:c>
      <x:c r="Z25" s="16" t="n">
        <x:v>312.8980712890625</x:v>
      </x:c>
      <x:c r="AA25" s="16" t="n">
        <x:v>0.985</x:v>
      </x:c>
      <x:c r="AB25" s="16" t="n">
        <x:v>0.99</x:v>
      </x:c>
      <x:c r="AC25" s="16" t="n">
        <x:v>0.985</x:v>
      </x:c>
      <x:c r="AD25" s="16" t="n">
        <x:v>0.985</x:v>
      </x:c>
      <x:c r="AE25" s="16" t="n">
        <x:v>0.961223077707387</x:v>
      </x:c>
      <x:c r="AF25" s="16" t="n">
        <x:v>0.9734778362864706</x:v>
      </x:c>
      <x:c r="AG25" s="16" t="n">
        <x:v>0.961223077707387</x:v>
      </x:c>
      <x:c r="AH25" s="16" t="n">
        <x:v>0.961223077707387</x:v>
      </x:c>
      <x:c r="AI25" t="n">
        <x:f>IF(W25&lt;'Protocol'!$B$8,1,0)</x:f>
        <x:v>0</x:v>
      </x:c>
      <x:c r="AJ25" t="n">
        <x:f>IF(X25&lt;'Protocol'!$B$8,1,0)</x:f>
        <x:v>0</x:v>
      </x:c>
      <x:c r="AK25" t="n">
        <x:f>IF(AND(AI25=1,AJ25=0),1,0)</x:f>
        <x:v>0</x:v>
      </x:c>
      <x:c r="AL25" t="n">
        <x:f>IF(AND(AJ25=1,AI25=0),1,0)</x:f>
        <x:v>0</x:v>
      </x:c>
      <x:c r="AM25" t="n">
        <x:f>IF(Q25&lt;'Protocol'!$B$9,1,0)</x:f>
        <x:v>0</x:v>
      </x:c>
      <x:c r="AN25" t="n">
        <x:f>IF(R25&lt;'Protocol'!$B$9,1,0)</x:f>
        <x:v>0</x:v>
      </x:c>
      <x:c r="AO25" t="n">
        <x:f>R25-Q25</x:f>
        <x:v>0.0050000000000000044</x:v>
      </x:c>
      <x:c r="AP25" t="n">
        <x:f>AB25-AA25</x:f>
        <x:v>0.0050000000000000044</x:v>
      </x:c>
      <x:c r="AQ25" t="n">
        <x:f>AD25-AC25</x:f>
        <x:v>0</x:v>
      </x:c>
      <x:c r="AR25" t="n">
        <x:f>IF(AO25&gt;0,1,0)</x:f>
        <x:v>1</x:v>
      </x:c>
      <x:c r="AS25" t="n">
        <x:f>IF(AP25&gt;0,1,0)</x:f>
        <x:v>1</x:v>
      </x:c>
      <x:c r="AT25" t="n">
        <x:f>IF(AQ25&gt;0,1,0)</x:f>
        <x:v>0</x:v>
      </x:c>
    </x:row>
    <x:row r="26">
      <x:c r="A26" t="str">
        <x:v>trunc_K2_C5</x:v>
      </x:c>
      <x:c r="B26" t="n">
        <x:v>0</x:v>
      </x:c>
      <x:c r="C26" t="str">
        <x:v>phase_c_new</x:v>
      </x:c>
      <x:c r="D26" s="16" t="n">
        <x:v>3.615429401397705</x:v>
      </x:c>
      <x:c r="E26" s="16" t="n">
        <x:v>3.615805149078369</x:v>
      </x:c>
      <x:c r="F26" s="16" t="n">
        <x:v>3.615814447402954</x:v>
      </x:c>
      <x:c r="G26" s="16" t="n">
        <x:f>F26-E26</x:f>
        <x:v>0.000009298324584960938</x:v>
      </x:c>
      <x:c r="H26" s="16" t="n">
        <x:f>F26-D26</x:f>
        <x:v>0.00038504600524902344</x:v>
      </x:c>
      <x:c r="I26" t="n">
        <x:f>IF(F26&lt;E26,1,0)</x:f>
        <x:v>0</x:v>
      </x:c>
      <x:c r="J26" t="n">
        <x:f>IF(F26&lt;D26,1,0)</x:f>
        <x:v>0</x:v>
      </x:c>
      <x:c r="K26" s="17" t="n">
        <x:v>1</x:v>
      </x:c>
      <x:c r="L26" s="17" t="n">
        <x:v>1</x:v>
      </x:c>
      <x:c r="M26" t="n">
        <x:v>13</x:v>
      </x:c>
      <x:c r="N26" t="n">
        <x:v>13</x:v>
      </x:c>
      <x:c r="O26" s="16" t="n">
        <x:v>3.6013829708099365</x:v>
      </x:c>
      <x:c r="P26" s="16" t="n">
        <x:v>3.6013476848602295</x:v>
      </x:c>
      <x:c r="Q26" s="16" t="n">
        <x:v>1</x:v>
      </x:c>
      <x:c r="R26" s="16" t="n">
        <x:v>1</x:v>
      </x:c>
      <x:c r="S26" s="16" t="n">
        <x:v>0.11878755436026</x:v>
      </x:c>
      <x:c r="T26" s="16" t="n">
        <x:v>0.11766742003197</x:v>
      </x:c>
      <x:c r="U26" t="str">
        <x:v>[0.4984374958143576,0.5015625274373775]</x:v>
      </x:c>
      <x:c r="V26" t="str">
        <x:v>[0.4987499858611743,0.5012500379324406]</x:v>
      </x:c>
      <x:c r="W26" s="16" t="n">
        <x:v>0.4984374958143576</x:v>
      </x:c>
      <x:c r="X26" s="16" t="n">
        <x:v>0.4987499858611743</x:v>
      </x:c>
      <x:c r="Y26" s="16" t="n">
        <x:v>319</x:v>
      </x:c>
      <x:c r="Z26" s="16" t="n">
        <x:v>319</x:v>
      </x:c>
      <x:c r="AA26" s="16" t="n">
        <x:v>1</x:v>
      </x:c>
      <x:c r="AB26" s="16" t="n">
        <x:v>1</x:v>
      </x:c>
      <x:c r="AC26" s="16" t="n">
        <x:v>1</x:v>
      </x:c>
      <x:c r="AD26" s="16" t="n">
        <x:v>1</x:v>
      </x:c>
      <x:c r="AE26" s="16" t="n">
        <x:v>1</x:v>
      </x:c>
      <x:c r="AF26" s="16" t="n">
        <x:v>1</x:v>
      </x:c>
      <x:c r="AG26" s="16" t="n">
        <x:v>1</x:v>
      </x:c>
      <x:c r="AH26" s="16" t="n">
        <x:v>1</x:v>
      </x:c>
      <x:c r="AI26" t="n">
        <x:f>IF(W26&lt;'Protocol'!$B$8,1,0)</x:f>
        <x:v>0</x:v>
      </x:c>
      <x:c r="AJ26" t="n">
        <x:f>IF(X26&lt;'Protocol'!$B$8,1,0)</x:f>
        <x:v>0</x:v>
      </x:c>
      <x:c r="AK26" t="n">
        <x:f>IF(AND(AI26=1,AJ26=0),1,0)</x:f>
        <x:v>0</x:v>
      </x:c>
      <x:c r="AL26" t="n">
        <x:f>IF(AND(AJ26=1,AI26=0),1,0)</x:f>
        <x:v>0</x:v>
      </x:c>
      <x:c r="AM26" t="n">
        <x:f>IF(Q26&lt;'Protocol'!$B$9,1,0)</x:f>
        <x:v>0</x:v>
      </x:c>
      <x:c r="AN26" t="n">
        <x:f>IF(R26&lt;'Protocol'!$B$9,1,0)</x:f>
        <x:v>0</x:v>
      </x:c>
      <x:c r="AO26" t="n">
        <x:f>R26-Q26</x:f>
        <x:v>0</x:v>
      </x:c>
      <x:c r="AP26" t="n">
        <x:f>AB26-AA26</x:f>
        <x:v>0</x:v>
      </x:c>
      <x:c r="AQ26" t="n">
        <x:f>AD26-AC26</x:f>
        <x:v>0</x:v>
      </x:c>
      <x:c r="AR26" t="n">
        <x:f>IF(AO26&gt;0,1,0)</x:f>
        <x:v>0</x:v>
      </x:c>
      <x:c r="AS26" t="n">
        <x:f>IF(AP26&gt;0,1,0)</x:f>
        <x:v>0</x:v>
      </x:c>
      <x:c r="AT26" t="n">
        <x:f>IF(AQ26&gt;0,1,0)</x:f>
        <x:v>0</x:v>
      </x:c>
    </x:row>
    <x:row r="27">
      <x:c r="A27" t="str">
        <x:v>trunc_K2_C5</x:v>
      </x:c>
      <x:c r="B27" t="n">
        <x:v>1</x:v>
      </x:c>
      <x:c r="C27" t="str">
        <x:v>phase_c_new</x:v>
      </x:c>
      <x:c r="D27" s="16" t="n">
        <x:v>3.645220994949341</x:v>
      </x:c>
      <x:c r="E27" s="16" t="n">
        <x:v>3.6172914505004883</x:v>
      </x:c>
      <x:c r="F27" s="16" t="n">
        <x:v>3.6172549724578857</x:v>
      </x:c>
      <x:c r="G27" s="16" t="n">
        <x:f>F27-E27</x:f>
        <x:v>-0.00003647804260253906</x:v>
      </x:c>
      <x:c r="H27" s="16" t="n">
        <x:f>F27-D27</x:f>
        <x:v>-0.027966022491455078</x:v>
      </x:c>
      <x:c r="I27" t="n">
        <x:f>IF(F27&lt;E27,1,0)</x:f>
        <x:v>1</x:v>
      </x:c>
      <x:c r="J27" t="n">
        <x:f>IF(F27&lt;D27,1,0)</x:f>
        <x:v>1</x:v>
      </x:c>
      <x:c r="K27" s="17" t="n">
        <x:v>0.525</x:v>
      </x:c>
      <x:c r="L27" s="17" t="n">
        <x:v>0</x:v>
      </x:c>
      <x:c r="M27" t="n">
        <x:v>22</x:v>
      </x:c>
      <x:c r="N27" t="n">
        <x:v>22</x:v>
      </x:c>
      <x:c r="O27" s="16" t="n">
        <x:v>3.601365327835083</x:v>
      </x:c>
      <x:c r="P27" s="16" t="n">
        <x:v>3.6012935638427734</x:v>
      </x:c>
      <x:c r="Q27" s="16" t="n">
        <x:v>1</x:v>
      </x:c>
      <x:c r="R27" s="16" t="n">
        <x:v>1</x:v>
      </x:c>
      <x:c r="S27" s="16" t="n">
        <x:v>0.10405869868176</x:v>
      </x:c>
      <x:c r="T27" s="16" t="n">
        <x:v>0.11218931743754</x:v>
      </x:c>
      <x:c r="U27" t="str">
        <x:v>[0.4984374958143576,0.5015625274373775]</x:v>
      </x:c>
      <x:c r="V27" t="str">
        <x:v>[0.4987499858611743,0.5012500379324406]</x:v>
      </x:c>
      <x:c r="W27" s="16" t="n">
        <x:v>0.4984374958143576</x:v>
      </x:c>
      <x:c r="X27" s="16" t="n">
        <x:v>0.4987499858611743</x:v>
      </x:c>
      <x:c r="Y27" s="16" t="n">
        <x:v>319</x:v>
      </x:c>
      <x:c r="Z27" s="16" t="n">
        <x:v>319</x:v>
      </x:c>
      <x:c r="AA27" s="16" t="n">
        <x:v>1</x:v>
      </x:c>
      <x:c r="AB27" s="16" t="n">
        <x:v>1</x:v>
      </x:c>
      <x:c r="AC27" s="16" t="n">
        <x:v>1</x:v>
      </x:c>
      <x:c r="AD27" s="16" t="n">
        <x:v>1</x:v>
      </x:c>
      <x:c r="AE27" s="16" t="n">
        <x:v>1</x:v>
      </x:c>
      <x:c r="AF27" s="16" t="n">
        <x:v>1</x:v>
      </x:c>
      <x:c r="AG27" s="16" t="n">
        <x:v>1</x:v>
      </x:c>
      <x:c r="AH27" s="16" t="n">
        <x:v>1</x:v>
      </x:c>
      <x:c r="AI27" t="n">
        <x:f>IF(W27&lt;'Protocol'!$B$8,1,0)</x:f>
        <x:v>0</x:v>
      </x:c>
      <x:c r="AJ27" t="n">
        <x:f>IF(X27&lt;'Protocol'!$B$8,1,0)</x:f>
        <x:v>0</x:v>
      </x:c>
      <x:c r="AK27" t="n">
        <x:f>IF(AND(AI27=1,AJ27=0),1,0)</x:f>
        <x:v>0</x:v>
      </x:c>
      <x:c r="AL27" t="n">
        <x:f>IF(AND(AJ27=1,AI27=0),1,0)</x:f>
        <x:v>0</x:v>
      </x:c>
      <x:c r="AM27" t="n">
        <x:f>IF(Q27&lt;'Protocol'!$B$9,1,0)</x:f>
        <x:v>0</x:v>
      </x:c>
      <x:c r="AN27" t="n">
        <x:f>IF(R27&lt;'Protocol'!$B$9,1,0)</x:f>
        <x:v>0</x:v>
      </x:c>
      <x:c r="AO27" t="n">
        <x:f>R27-Q27</x:f>
        <x:v>0</x:v>
      </x:c>
      <x:c r="AP27" t="n">
        <x:f>AB27-AA27</x:f>
        <x:v>0</x:v>
      </x:c>
      <x:c r="AQ27" t="n">
        <x:f>AD27-AC27</x:f>
        <x:v>0</x:v>
      </x:c>
      <x:c r="AR27" t="n">
        <x:f>IF(AO27&gt;0,1,0)</x:f>
        <x:v>0</x:v>
      </x:c>
      <x:c r="AS27" t="n">
        <x:f>IF(AP27&gt;0,1,0)</x:f>
        <x:v>0</x:v>
      </x:c>
      <x:c r="AT27" t="n">
        <x:f>IF(AQ27&gt;0,1,0)</x:f>
        <x:v>0</x:v>
      </x:c>
    </x:row>
    <x:row r="28">
      <x:c r="A28" t="str">
        <x:v>trunc_K2_C5</x:v>
      </x:c>
      <x:c r="B28" t="n">
        <x:v>2</x:v>
      </x:c>
      <x:c r="C28" t="str">
        <x:v>phase_c_new</x:v>
      </x:c>
      <x:c r="D28" s="16" t="n">
        <x:v>3.6430437564849854</x:v>
      </x:c>
      <x:c r="E28" s="16" t="n">
        <x:v>3.6165881156921387</x:v>
      </x:c>
      <x:c r="F28" s="16" t="n">
        <x:v>3.6169118881225586</x:v>
      </x:c>
      <x:c r="G28" s="16" t="n">
        <x:f>F28-E28</x:f>
        <x:v>0.0003237724304199219</x:v>
      </x:c>
      <x:c r="H28" s="16" t="n">
        <x:f>F28-D28</x:f>
        <x:v>-0.026131868362426758</x:v>
      </x:c>
      <x:c r="I28" t="n">
        <x:f>IF(F28&lt;E28,1,0)</x:f>
        <x:v>0</x:v>
      </x:c>
      <x:c r="J28" t="n">
        <x:f>IF(F28&lt;D28,1,0)</x:f>
        <x:v>1</x:v>
      </x:c>
      <x:c r="K28" s="17" t="n">
        <x:v>0.525</x:v>
      </x:c>
      <x:c r="L28" s="17" t="n">
        <x:v>0</x:v>
      </x:c>
      <x:c r="M28" t="n">
        <x:v>22</x:v>
      </x:c>
      <x:c r="N28" t="n">
        <x:v>15</x:v>
      </x:c>
      <x:c r="O28" s="16" t="n">
        <x:v>3.601245641708374</x:v>
      </x:c>
      <x:c r="P28" s="16" t="n">
        <x:v>3.603562116622925</x:v>
      </x:c>
      <x:c r="Q28" s="16" t="n">
        <x:v>1</x:v>
      </x:c>
      <x:c r="R28" s="16" t="n">
        <x:v>1</x:v>
      </x:c>
      <x:c r="S28" s="16" t="n">
        <x:v>0.12506490135189</x:v>
      </x:c>
      <x:c r="T28" s="16" t="n">
        <x:v>0.0956480463439</x:v>
      </x:c>
      <x:c r="U28" t="str">
        <x:v>[0.5015625274373775,0.4984374958143576]</x:v>
      </x:c>
      <x:c r="V28" t="str">
        <x:v>[0.5012500379324406,0.4987499858611743]</x:v>
      </x:c>
      <x:c r="W28" s="16" t="n">
        <x:v>0.4984374958143576</x:v>
      </x:c>
      <x:c r="X28" s="16" t="n">
        <x:v>0.4987499858611743</x:v>
      </x:c>
      <x:c r="Y28" s="16" t="n">
        <x:v>319</x:v>
      </x:c>
      <x:c r="Z28" s="16" t="n">
        <x:v>319</x:v>
      </x:c>
      <x:c r="AA28" s="16" t="n">
        <x:v>1</x:v>
      </x:c>
      <x:c r="AB28" s="16" t="n">
        <x:v>1</x:v>
      </x:c>
      <x:c r="AC28" s="16" t="n">
        <x:v>1</x:v>
      </x:c>
      <x:c r="AD28" s="16" t="n">
        <x:v>1</x:v>
      </x:c>
      <x:c r="AE28" s="16" t="n">
        <x:v>1</x:v>
      </x:c>
      <x:c r="AF28" s="16" t="n">
        <x:v>1</x:v>
      </x:c>
      <x:c r="AG28" s="16" t="n">
        <x:v>1</x:v>
      </x:c>
      <x:c r="AH28" s="16" t="n">
        <x:v>1</x:v>
      </x:c>
      <x:c r="AI28" t="n">
        <x:f>IF(W28&lt;'Protocol'!$B$8,1,0)</x:f>
        <x:v>0</x:v>
      </x:c>
      <x:c r="AJ28" t="n">
        <x:f>IF(X28&lt;'Protocol'!$B$8,1,0)</x:f>
        <x:v>0</x:v>
      </x:c>
      <x:c r="AK28" t="n">
        <x:f>IF(AND(AI28=1,AJ28=0),1,0)</x:f>
        <x:v>0</x:v>
      </x:c>
      <x:c r="AL28" t="n">
        <x:f>IF(AND(AJ28=1,AI28=0),1,0)</x:f>
        <x:v>0</x:v>
      </x:c>
      <x:c r="AM28" t="n">
        <x:f>IF(Q28&lt;'Protocol'!$B$9,1,0)</x:f>
        <x:v>0</x:v>
      </x:c>
      <x:c r="AN28" t="n">
        <x:f>IF(R28&lt;'Protocol'!$B$9,1,0)</x:f>
        <x:v>0</x:v>
      </x:c>
      <x:c r="AO28" t="n">
        <x:f>R28-Q28</x:f>
        <x:v>0</x:v>
      </x:c>
      <x:c r="AP28" t="n">
        <x:f>AB28-AA28</x:f>
        <x:v>0</x:v>
      </x:c>
      <x:c r="AQ28" t="n">
        <x:f>AD28-AC28</x:f>
        <x:v>0</x:v>
      </x:c>
      <x:c r="AR28" t="n">
        <x:f>IF(AO28&gt;0,1,0)</x:f>
        <x:v>0</x:v>
      </x:c>
      <x:c r="AS28" t="n">
        <x:f>IF(AP28&gt;0,1,0)</x:f>
        <x:v>0</x:v>
      </x:c>
      <x:c r="AT28" t="n">
        <x:f>IF(AQ28&gt;0,1,0)</x:f>
        <x:v>0</x:v>
      </x:c>
    </x:row>
    <x:row r="29">
      <x:c r="A29" t="str">
        <x:v>trunc_K3_C5</x:v>
      </x:c>
      <x:c r="B29" t="n">
        <x:v>0</x:v>
      </x:c>
      <x:c r="C29" t="str">
        <x:v>phase_c_new</x:v>
      </x:c>
      <x:c r="D29" s="16" t="n">
        <x:v>4.161583423614502</x:v>
      </x:c>
      <x:c r="E29" s="16" t="n">
        <x:v>4.160820960998535</x:v>
      </x:c>
      <x:c r="F29" s="16" t="n">
        <x:v>4.1611647605896</x:v>
      </x:c>
      <x:c r="G29" s="16" t="n">
        <x:f>F29-E29</x:f>
        <x:v>0.0003437995910644531</x:v>
      </x:c>
      <x:c r="H29" s="16" t="n">
        <x:f>F29-D29</x:f>
        <x:v>-0.00041866302490234375</x:v>
      </x:c>
      <x:c r="I29" t="n">
        <x:f>IF(F29&lt;E29,1,0)</x:f>
        <x:v>0</x:v>
      </x:c>
      <x:c r="J29" t="n">
        <x:f>IF(F29&lt;D29,1,0)</x:f>
        <x:v>1</x:v>
      </x:c>
      <x:c r="K29" s="17" t="n">
        <x:v>0.9833333333333333</x:v>
      </x:c>
      <x:c r="L29" s="17" t="n">
        <x:v>0.9505138546012598</x:v>
      </x:c>
      <x:c r="M29" t="n">
        <x:v>27</x:v>
      </x:c>
      <x:c r="N29" t="n">
        <x:v>28</x:v>
      </x:c>
      <x:c r="O29" s="16" t="n">
        <x:v>4.085436820983887</x:v>
      </x:c>
      <x:c r="P29" s="16" t="n">
        <x:v>4.085580348968506</x:v>
      </x:c>
      <x:c r="Q29" s="16" t="n">
        <x:v>0.9583333333333334</x:v>
      </x:c>
      <x:c r="R29" s="16" t="n">
        <x:v>0.9666666666666667</x:v>
      </x:c>
      <x:c r="S29" s="16" t="n">
        <x:v>0.04992909747533</x:v>
      </x:c>
      <x:c r="T29" s="16" t="n">
        <x:v>0.03486970699007</x:v>
      </x:c>
      <x:c r="U29" t="str">
        <x:v>[0.339124333447856,0.31930516614329557,0.3415705653406587]</x:v>
      </x:c>
      <x:c r="V29" t="str">
        <x:v>[0.3443935680490155,0.3191805684586409,0.3364258861766632]</x:v>
      </x:c>
      <x:c r="W29" s="16" t="n">
        <x:v>0.31930516614329557</x:v>
      </x:c>
      <x:c r="X29" s="16" t="n">
        <x:v>0.3191805684586409</x:v>
      </x:c>
      <x:c r="Y29" s="16" t="n">
        <x:v>306.5329284667969</x:v>
      </x:c>
      <x:c r="Z29" s="16" t="n">
        <x:v>303.01666259765625</x:v>
      </x:c>
      <x:c r="AA29" s="16" t="n">
        <x:v>0.975</x:v>
      </x:c>
      <x:c r="AB29" s="16" t="n">
        <x:v>0.9833333333333333</x:v>
      </x:c>
      <x:c r="AC29" s="16" t="n">
        <x:v>0.975</x:v>
      </x:c>
      <x:c r="AD29" s="16" t="n">
        <x:v>0.9833333333333333</x:v>
      </x:c>
      <x:c r="AE29" s="16" t="n">
        <x:v>0.9269364667007943</x:v>
      </x:c>
      <x:c r="AF29" s="16" t="n">
        <x:v>0.9505996090865425</x:v>
      </x:c>
      <x:c r="AG29" s="16" t="n">
        <x:v>0.9269364667007943</x:v>
      </x:c>
      <x:c r="AH29" s="16" t="n">
        <x:v>0.9505996090865425</x:v>
      </x:c>
      <x:c r="AI29" t="n">
        <x:f>IF(W29&lt;'Protocol'!$B$8,1,0)</x:f>
        <x:v>0</x:v>
      </x:c>
      <x:c r="AJ29" t="n">
        <x:f>IF(X29&lt;'Protocol'!$B$8,1,0)</x:f>
        <x:v>0</x:v>
      </x:c>
      <x:c r="AK29" t="n">
        <x:f>IF(AND(AI29=1,AJ29=0),1,0)</x:f>
        <x:v>0</x:v>
      </x:c>
      <x:c r="AL29" t="n">
        <x:f>IF(AND(AJ29=1,AI29=0),1,0)</x:f>
        <x:v>0</x:v>
      </x:c>
      <x:c r="AM29" t="n">
        <x:f>IF(Q29&lt;'Protocol'!$B$9,1,0)</x:f>
        <x:v>0</x:v>
      </x:c>
      <x:c r="AN29" t="n">
        <x:f>IF(R29&lt;'Protocol'!$B$9,1,0)</x:f>
        <x:v>0</x:v>
      </x:c>
      <x:c r="AO29" t="n">
        <x:f>R29-Q29</x:f>
        <x:v>0.008333333333333304</x:v>
      </x:c>
      <x:c r="AP29" t="n">
        <x:f>AB29-AA29</x:f>
        <x:v>0.008333333333333304</x:v>
      </x:c>
      <x:c r="AQ29" t="n">
        <x:f>AD29-AC29</x:f>
        <x:v>0.008333333333333304</x:v>
      </x:c>
      <x:c r="AR29" t="n">
        <x:f>IF(AO29&gt;0,1,0)</x:f>
        <x:v>1</x:v>
      </x:c>
      <x:c r="AS29" t="n">
        <x:f>IF(AP29&gt;0,1,0)</x:f>
        <x:v>1</x:v>
      </x:c>
      <x:c r="AT29" t="n">
        <x:f>IF(AQ29&gt;0,1,0)</x:f>
        <x:v>1</x:v>
      </x:c>
    </x:row>
    <x:row r="30">
      <x:c r="A30" t="str">
        <x:v>trunc_K3_C5</x:v>
      </x:c>
      <x:c r="B30" t="n">
        <x:v>1</x:v>
      </x:c>
      <x:c r="C30" t="str">
        <x:v>phase_c_new</x:v>
      </x:c>
      <x:c r="D30" s="16" t="n">
        <x:v>4.192091941833496</x:v>
      </x:c>
      <x:c r="E30" s="16" t="n">
        <x:v>4.1618971824646</x:v>
      </x:c>
      <x:c r="F30" s="16" t="n">
        <x:v>4.161842346191406</x:v>
      </x:c>
      <x:c r="G30" s="16" t="n">
        <x:f>F30-E30</x:f>
        <x:v>-0.000054836273193359375</x:v>
      </x:c>
      <x:c r="H30" s="16" t="n">
        <x:f>F30-D30</x:f>
        <x:v>-0.030249595642089844</x:v>
      </x:c>
      <x:c r="I30" t="n">
        <x:f>IF(F30&lt;E30,1,0)</x:f>
        <x:v>1</x:v>
      </x:c>
      <x:c r="J30" t="n">
        <x:f>IF(F30&lt;D30,1,0)</x:f>
        <x:v>1</x:v>
      </x:c>
      <x:c r="K30" s="17" t="n">
        <x:v>0.6916666666666667</x:v>
      </x:c>
      <x:c r="L30" s="17" t="n">
        <x:v>0.569598239555888</x:v>
      </x:c>
      <x:c r="M30" t="n">
        <x:v>27</x:v>
      </x:c>
      <x:c r="N30" t="n">
        <x:v>27</x:v>
      </x:c>
      <x:c r="O30" s="16" t="n">
        <x:v>4.084275722503662</x:v>
      </x:c>
      <x:c r="P30" s="16" t="n">
        <x:v>4.084228038787842</x:v>
      </x:c>
      <x:c r="Q30" s="16" t="n">
        <x:v>0.9583333333333334</x:v>
      </x:c>
      <x:c r="R30" s="16" t="n">
        <x:v>0.9583333333333334</x:v>
      </x:c>
      <x:c r="S30" s="16" t="n">
        <x:v>0.0975674250694</x:v>
      </x:c>
      <x:c r="T30" s="16" t="n">
        <x:v>0.09831616824192</x:v>
      </x:c>
      <x:c r="U30" t="str">
        <x:v>[0.32434342753836737,0.3406985560154499,0.334958002995187]</x:v>
      </x:c>
      <x:c r="V30" t="str">
        <x:v>[0.32597196314941096,0.3391507331567391,0.33487727405162265]</x:v>
      </x:c>
      <x:c r="W30" s="16" t="n">
        <x:v>0.32434342753836737</x:v>
      </x:c>
      <x:c r="X30" s="16" t="n">
        <x:v>0.32597196314941096</x:v>
      </x:c>
      <x:c r="Y30" s="16" t="n">
        <x:v>311.36968994140625</x:v>
      </x:c>
      <x:c r="Z30" s="16" t="n">
        <x:v>311.1663818359375</x:v>
      </x:c>
      <x:c r="AA30" s="16" t="n">
        <x:v>0.9833333333333333</x:v>
      </x:c>
      <x:c r="AB30" s="16" t="n">
        <x:v>0.9833333333333333</x:v>
      </x:c>
      <x:c r="AC30" s="16" t="n">
        <x:v>0.9833333333333333</x:v>
      </x:c>
      <x:c r="AD30" s="16" t="n">
        <x:v>0.9833333333333333</x:v>
      </x:c>
      <x:c r="AE30" s="16" t="n">
        <x:v>0.9505996090865425</x:v>
      </x:c>
      <x:c r="AF30" s="16" t="n">
        <x:v>0.9505996090865425</x:v>
      </x:c>
      <x:c r="AG30" s="16" t="n">
        <x:v>0.9505996090865425</x:v>
      </x:c>
      <x:c r="AH30" s="16" t="n">
        <x:v>0.9505996090865425</x:v>
      </x:c>
      <x:c r="AI30" t="n">
        <x:f>IF(W30&lt;'Protocol'!$B$8,1,0)</x:f>
        <x:v>0</x:v>
      </x:c>
      <x:c r="AJ30" t="n">
        <x:f>IF(X30&lt;'Protocol'!$B$8,1,0)</x:f>
        <x:v>0</x:v>
      </x:c>
      <x:c r="AK30" t="n">
        <x:f>IF(AND(AI30=1,AJ30=0),1,0)</x:f>
        <x:v>0</x:v>
      </x:c>
      <x:c r="AL30" t="n">
        <x:f>IF(AND(AJ30=1,AI30=0),1,0)</x:f>
        <x:v>0</x:v>
      </x:c>
      <x:c r="AM30" t="n">
        <x:f>IF(Q30&lt;'Protocol'!$B$9,1,0)</x:f>
        <x:v>0</x:v>
      </x:c>
      <x:c r="AN30" t="n">
        <x:f>IF(R30&lt;'Protocol'!$B$9,1,0)</x:f>
        <x:v>0</x:v>
      </x:c>
      <x:c r="AO30" t="n">
        <x:f>R30-Q30</x:f>
        <x:v>0</x:v>
      </x:c>
      <x:c r="AP30" t="n">
        <x:f>AB30-AA30</x:f>
        <x:v>0</x:v>
      </x:c>
      <x:c r="AQ30" t="n">
        <x:f>AD30-AC30</x:f>
        <x:v>0</x:v>
      </x:c>
      <x:c r="AR30" t="n">
        <x:f>IF(AO30&gt;0,1,0)</x:f>
        <x:v>0</x:v>
      </x:c>
      <x:c r="AS30" t="n">
        <x:f>IF(AP30&gt;0,1,0)</x:f>
        <x:v>0</x:v>
      </x:c>
      <x:c r="AT30" t="n">
        <x:f>IF(AQ30&gt;0,1,0)</x:f>
        <x:v>0</x:v>
      </x:c>
    </x:row>
    <x:row r="31">
      <x:c r="A31" t="str">
        <x:v>trunc_K3_C5</x:v>
      </x:c>
      <x:c r="B31" t="n">
        <x:v>2</x:v>
      </x:c>
      <x:c r="C31" t="str">
        <x:v>phase_c_new</x:v>
      </x:c>
      <x:c r="D31" s="16" t="n">
        <x:v>4.163209438323975</x:v>
      </x:c>
      <x:c r="E31" s="16" t="n">
        <x:v>4.161426067352295</x:v>
      </x:c>
      <x:c r="F31" s="16" t="n">
        <x:v>4.161501407623291</x:v>
      </x:c>
      <x:c r="G31" s="16" t="n">
        <x:f>F31-E31</x:f>
        <x:v>0.00007534027099609375</x:v>
      </x:c>
      <x:c r="H31" s="16" t="n">
        <x:f>F31-D31</x:f>
        <x:v>-0.0017080307006835938</x:v>
      </x:c>
      <x:c r="I31" t="n">
        <x:f>IF(F31&lt;E31,1,0)</x:f>
        <x:v>0</x:v>
      </x:c>
      <x:c r="J31" t="n">
        <x:f>IF(F31&lt;D31,1,0)</x:f>
        <x:v>1</x:v>
      </x:c>
      <x:c r="K31" s="17" t="n">
        <x:v>0.975</x:v>
      </x:c>
      <x:c r="L31" s="17" t="n">
        <x:v>0.9266826660208604</x:v>
      </x:c>
      <x:c r="M31" t="n">
        <x:v>29</x:v>
      </x:c>
      <x:c r="N31" t="n">
        <x:v>29</x:v>
      </x:c>
      <x:c r="O31" s="16" t="n">
        <x:v>4.084572792053223</x:v>
      </x:c>
      <x:c r="P31" s="16" t="n">
        <x:v>4.08457612991333</x:v>
      </x:c>
      <x:c r="Q31" s="16" t="n">
        <x:v>0.9583333333333334</x:v>
      </x:c>
      <x:c r="R31" s="16" t="n">
        <x:v>0.9583333333333334</x:v>
      </x:c>
      <x:c r="S31" s="16" t="n">
        <x:v>0.03799689360287</x:v>
      </x:c>
      <x:c r="T31" s="16" t="n">
        <x:v>0.03884067836378</x:v>
      </x:c>
      <x:c r="U31" t="str">
        <x:v>[0.34154043506517245,0.31876237657838336,0.3396973004332334]</x:v>
      </x:c>
      <x:c r="V31" t="str">
        <x:v>[0.3399157200613969,0.3210006512258086,0.33908358571106284]</x:v>
      </x:c>
      <x:c r="W31" s="16" t="n">
        <x:v>0.31876237657838336</x:v>
      </x:c>
      <x:c r="X31" s="16" t="n">
        <x:v>0.3210006512258086</x:v>
      </x:c>
      <x:c r="Y31" s="16" t="n">
        <x:v>306.0118408203125</x:v>
      </x:c>
      <x:c r="Z31" s="16" t="n">
        <x:v>305.2008056640625</x:v>
      </x:c>
      <x:c r="AA31" s="16" t="n">
        <x:v>0.9833333333333333</x:v>
      </x:c>
      <x:c r="AB31" s="16" t="n">
        <x:v>0.9833333333333333</x:v>
      </x:c>
      <x:c r="AC31" s="16" t="n">
        <x:v>0.9833333333333333</x:v>
      </x:c>
      <x:c r="AD31" s="16" t="n">
        <x:v>0.9833333333333333</x:v>
      </x:c>
      <x:c r="AE31" s="16" t="n">
        <x:v>0.9505996090865425</x:v>
      </x:c>
      <x:c r="AF31" s="16" t="n">
        <x:v>0.9505996090865425</x:v>
      </x:c>
      <x:c r="AG31" s="16" t="n">
        <x:v>0.9505996090865425</x:v>
      </x:c>
      <x:c r="AH31" s="16" t="n">
        <x:v>0.9505996090865425</x:v>
      </x:c>
      <x:c r="AI31" t="n">
        <x:f>IF(W31&lt;'Protocol'!$B$8,1,0)</x:f>
        <x:v>0</x:v>
      </x:c>
      <x:c r="AJ31" t="n">
        <x:f>IF(X31&lt;'Protocol'!$B$8,1,0)</x:f>
        <x:v>0</x:v>
      </x:c>
      <x:c r="AK31" t="n">
        <x:f>IF(AND(AI31=1,AJ31=0),1,0)</x:f>
        <x:v>0</x:v>
      </x:c>
      <x:c r="AL31" t="n">
        <x:f>IF(AND(AJ31=1,AI31=0),1,0)</x:f>
        <x:v>0</x:v>
      </x:c>
      <x:c r="AM31" t="n">
        <x:f>IF(Q31&lt;'Protocol'!$B$9,1,0)</x:f>
        <x:v>0</x:v>
      </x:c>
      <x:c r="AN31" t="n">
        <x:f>IF(R31&lt;'Protocol'!$B$9,1,0)</x:f>
        <x:v>0</x:v>
      </x:c>
      <x:c r="AO31" t="n">
        <x:f>R31-Q31</x:f>
        <x:v>0</x:v>
      </x:c>
      <x:c r="AP31" t="n">
        <x:f>AB31-AA31</x:f>
        <x:v>0</x:v>
      </x:c>
      <x:c r="AQ31" t="n">
        <x:f>AD31-AC31</x:f>
        <x:v>0</x:v>
      </x:c>
      <x:c r="AR31" t="n">
        <x:f>IF(AO31&gt;0,1,0)</x:f>
        <x:v>0</x:v>
      </x:c>
      <x:c r="AS31" t="n">
        <x:f>IF(AP31&gt;0,1,0)</x:f>
        <x:v>0</x:v>
      </x:c>
      <x:c r="AT31" t="n">
        <x:f>IF(AQ31&gt;0,1,0)</x:f>
        <x:v>0</x:v>
      </x:c>
    </x:row>
    <x:row r="32">
      <x:c r="A32" t="str">
        <x:v>trunc_K4_C5</x:v>
      </x:c>
      <x:c r="B32" t="n">
        <x:v>0</x:v>
      </x:c>
      <x:c r="C32" t="str">
        <x:v>phase_c_new</x:v>
      </x:c>
      <x:c r="D32" s="16" t="n">
        <x:v>3.8215951919555664</x:v>
      </x:c>
      <x:c r="E32" s="16" t="n">
        <x:v>3.802870750427246</x:v>
      </x:c>
      <x:c r="F32" s="16" t="n">
        <x:v>3.8034508228302</x:v>
      </x:c>
      <x:c r="G32" s="16" t="n">
        <x:f>F32-E32</x:f>
        <x:v>0.0005800724029541016</x:v>
      </x:c>
      <x:c r="H32" s="16" t="n">
        <x:f>F32-D32</x:f>
        <x:v>-0.01814436912536621</x:v>
      </x:c>
      <x:c r="I32" t="n">
        <x:f>IF(F32&lt;E32,1,0)</x:f>
        <x:v>0</x:v>
      </x:c>
      <x:c r="J32" t="n">
        <x:f>IF(F32&lt;D32,1,0)</x:f>
        <x:v>1</x:v>
      </x:c>
      <x:c r="K32" s="17" t="n">
        <x:v>0.78125</x:v>
      </x:c>
      <x:c r="L32" s="17" t="n">
        <x:v>0.6158465311422024</x:v>
      </x:c>
      <x:c r="M32" t="n">
        <x:v>32</x:v>
      </x:c>
      <x:c r="N32" t="n">
        <x:v>32</x:v>
      </x:c>
      <x:c r="O32" s="16" t="n">
        <x:v>3.9247095584869385</x:v>
      </x:c>
      <x:c r="P32" s="16" t="n">
        <x:v>3.924544095993042</x:v>
      </x:c>
      <x:c r="Q32" s="16" t="n">
        <x:v>0.98125</x:v>
      </x:c>
      <x:c r="R32" s="16" t="n">
        <x:v>0.98125</x:v>
      </x:c>
      <x:c r="S32" s="16" t="n">
        <x:v>0.1110030761479</x:v>
      </x:c>
      <x:c r="T32" s="16" t="n">
        <x:v>0.09146314834948</x:v>
      </x:c>
      <x:c r="U32" t="str">
        <x:v>[0.2415156052703767,0.25234017391431524,0.2492752755760706,0.2568689434224991]</x:v>
      </x:c>
      <x:c r="V32" t="str">
        <x:v>[0.24332512158070513,0.25187251280962414,0.24929209535903352,0.2555102445618542]</x:v>
      </x:c>
      <x:c r="W32" s="16" t="n">
        <x:v>0.2415156052703767</x:v>
      </x:c>
      <x:c r="X32" s="16" t="n">
        <x:v>0.24332512158070513</x:v>
      </x:c>
      <x:c r="Y32" s="16" t="n">
        <x:v>309.13995361328125</x:v>
      </x:c>
      <x:c r="Z32" s="16" t="n">
        <x:v>309.3201904296875</x:v>
      </x:c>
      <x:c r="AA32" s="16" t="n">
        <x:v>0.9875</x:v>
      </x:c>
      <x:c r="AB32" s="16" t="n">
        <x:v>0.98125</x:v>
      </x:c>
      <x:c r="AC32" s="16" t="n">
        <x:v>0.9875</x:v>
      </x:c>
      <x:c r="AD32" s="16" t="n">
        <x:v>0.9875</x:v>
      </x:c>
      <x:c r="AE32" s="16" t="n">
        <x:v>0.9654733196288965</x:v>
      </x:c>
      <x:c r="AF32" s="16" t="n">
        <x:v>0.9493433366109437</x:v>
      </x:c>
      <x:c r="AG32" s="16" t="n">
        <x:v>0.9654733196288965</x:v>
      </x:c>
      <x:c r="AH32" s="16" t="n">
        <x:v>0.9654733196288965</x:v>
      </x:c>
      <x:c r="AI32" t="n">
        <x:f>IF(W32&lt;'Protocol'!$B$8,1,0)</x:f>
        <x:v>0</x:v>
      </x:c>
      <x:c r="AJ32" t="n">
        <x:f>IF(X32&lt;'Protocol'!$B$8,1,0)</x:f>
        <x:v>0</x:v>
      </x:c>
      <x:c r="AK32" t="n">
        <x:f>IF(AND(AI32=1,AJ32=0),1,0)</x:f>
        <x:v>0</x:v>
      </x:c>
      <x:c r="AL32" t="n">
        <x:f>IF(AND(AJ32=1,AI32=0),1,0)</x:f>
        <x:v>0</x:v>
      </x:c>
      <x:c r="AM32" t="n">
        <x:f>IF(Q32&lt;'Protocol'!$B$9,1,0)</x:f>
        <x:v>0</x:v>
      </x:c>
      <x:c r="AN32" t="n">
        <x:f>IF(R32&lt;'Protocol'!$B$9,1,0)</x:f>
        <x:v>0</x:v>
      </x:c>
      <x:c r="AO32" t="n">
        <x:f>R32-Q32</x:f>
        <x:v>0</x:v>
      </x:c>
      <x:c r="AP32" t="n">
        <x:f>AB32-AA32</x:f>
        <x:v>-0.006250000000000089</x:v>
      </x:c>
      <x:c r="AQ32" t="n">
        <x:f>AD32-AC32</x:f>
        <x:v>0</x:v>
      </x:c>
      <x:c r="AR32" t="n">
        <x:f>IF(AO32&gt;0,1,0)</x:f>
        <x:v>0</x:v>
      </x:c>
      <x:c r="AS32" t="n">
        <x:f>IF(AP32&gt;0,1,0)</x:f>
        <x:v>0</x:v>
      </x:c>
      <x:c r="AT32" t="n">
        <x:f>IF(AQ32&gt;0,1,0)</x:f>
        <x:v>0</x:v>
      </x:c>
    </x:row>
    <x:row r="33">
      <x:c r="A33" t="str">
        <x:v>trunc_K4_C5</x:v>
      </x:c>
      <x:c r="B33" t="n">
        <x:v>1</x:v>
      </x:c>
      <x:c r="C33" t="str">
        <x:v>phase_c_new</x:v>
      </x:c>
      <x:c r="D33" s="16" t="n">
        <x:v>3.8538501262664795</x:v>
      </x:c>
      <x:c r="E33" s="16" t="n">
        <x:v>3.8013415336608887</x:v>
      </x:c>
      <x:c r="F33" s="16" t="n">
        <x:v>3.801388740539551</x:v>
      </x:c>
      <x:c r="G33" s="16" t="n">
        <x:f>F33-E33</x:f>
        <x:v>0.000047206878662109375</x:v>
      </x:c>
      <x:c r="H33" s="16" t="n">
        <x:f>F33-D33</x:f>
        <x:v>-0.05246138572692871</x:v>
      </x:c>
      <x:c r="I33" t="n">
        <x:f>IF(F33&lt;E33,1,0)</x:f>
        <x:v>0</x:v>
      </x:c>
      <x:c r="J33" t="n">
        <x:f>IF(F33&lt;D33,1,0)</x:f>
        <x:v>1</x:v>
      </x:c>
      <x:c r="K33" s="17" t="n">
        <x:v>0.53125</x:v>
      </x:c>
      <x:c r="L33" s="17" t="n">
        <x:v>0.33273758767888867</x:v>
      </x:c>
      <x:c r="M33" t="n">
        <x:v>25</x:v>
      </x:c>
      <x:c r="N33" t="n">
        <x:v>25</x:v>
      </x:c>
      <x:c r="O33" s="16" t="n">
        <x:v>3.924222469329834</x:v>
      </x:c>
      <x:c r="P33" s="16" t="n">
        <x:v>3.9242262840270996</x:v>
      </x:c>
      <x:c r="Q33" s="16" t="n">
        <x:v>0.98125</x:v>
      </x:c>
      <x:c r="R33" s="16" t="n">
        <x:v>0.98125</x:v>
      </x:c>
      <x:c r="S33" s="16" t="n">
        <x:v>0.13658117370489</x:v>
      </x:c>
      <x:c r="T33" s="16" t="n">
        <x:v>0.13655592309255</x:v>
      </x:c>
      <x:c r="U33" t="str">
        <x:v>[0.2523353609533582,0.2500070026915075,0.24138818156582956,0.2562694386625307]</x:v>
      </x:c>
      <x:c r="V33" t="str">
        <x:v>[0.2518682191935275,0.24996477518441898,0.24316514469882433,0.2550018692112886]</x:v>
      </x:c>
      <x:c r="W33" s="16" t="n">
        <x:v>0.24138818156582956</x:v>
      </x:c>
      <x:c r="X33" s="16" t="n">
        <x:v>0.24316514469882433</x:v>
      </x:c>
      <x:c r="Y33" s="16" t="n">
        <x:v>308.97686767578125</x:v>
      </x:c>
      <x:c r="Z33" s="16" t="n">
        <x:v>309.064208984375</x:v>
      </x:c>
      <x:c r="AA33" s="16" t="n">
        <x:v>0.99375</x:v>
      </x:c>
      <x:c r="AB33" s="16" t="n">
        <x:v>0.99375</x:v>
      </x:c>
      <x:c r="AC33" s="16" t="n">
        <x:v>0.99375</x:v>
      </x:c>
      <x:c r="AD33" s="16" t="n">
        <x:v>0.99375</x:v>
      </x:c>
      <x:c r="AE33" s="16" t="n">
        <x:v>0.9835683013029263</x:v>
      </x:c>
      <x:c r="AF33" s="16" t="n">
        <x:v>0.9835683013029263</x:v>
      </x:c>
      <x:c r="AG33" s="16" t="n">
        <x:v>0.9835683013029263</x:v>
      </x:c>
      <x:c r="AH33" s="16" t="n">
        <x:v>0.9835683013029263</x:v>
      </x:c>
      <x:c r="AI33" t="n">
        <x:f>IF(W33&lt;'Protocol'!$B$8,1,0)</x:f>
        <x:v>0</x:v>
      </x:c>
      <x:c r="AJ33" t="n">
        <x:f>IF(X33&lt;'Protocol'!$B$8,1,0)</x:f>
        <x:v>0</x:v>
      </x:c>
      <x:c r="AK33" t="n">
        <x:f>IF(AND(AI33=1,AJ33=0),1,0)</x:f>
        <x:v>0</x:v>
      </x:c>
      <x:c r="AL33" t="n">
        <x:f>IF(AND(AJ33=1,AI33=0),1,0)</x:f>
        <x:v>0</x:v>
      </x:c>
      <x:c r="AM33" t="n">
        <x:f>IF(Q33&lt;'Protocol'!$B$9,1,0)</x:f>
        <x:v>0</x:v>
      </x:c>
      <x:c r="AN33" t="n">
        <x:f>IF(R33&lt;'Protocol'!$B$9,1,0)</x:f>
        <x:v>0</x:v>
      </x:c>
      <x:c r="AO33" t="n">
        <x:f>R33-Q33</x:f>
        <x:v>0</x:v>
      </x:c>
      <x:c r="AP33" t="n">
        <x:f>AB33-AA33</x:f>
        <x:v>0</x:v>
      </x:c>
      <x:c r="AQ33" t="n">
        <x:f>AD33-AC33</x:f>
        <x:v>0</x:v>
      </x:c>
      <x:c r="AR33" t="n">
        <x:f>IF(AO33&gt;0,1,0)</x:f>
        <x:v>0</x:v>
      </x:c>
      <x:c r="AS33" t="n">
        <x:f>IF(AP33&gt;0,1,0)</x:f>
        <x:v>0</x:v>
      </x:c>
      <x:c r="AT33" t="n">
        <x:f>IF(AQ33&gt;0,1,0)</x:f>
        <x:v>0</x:v>
      </x:c>
    </x:row>
    <x:row r="34">
      <x:c r="A34" t="str">
        <x:v>trunc_K4_C5</x:v>
      </x:c>
      <x:c r="B34" t="n">
        <x:v>2</x:v>
      </x:c>
      <x:c r="C34" t="str">
        <x:v>phase_c_new</x:v>
      </x:c>
      <x:c r="D34" s="16" t="n">
        <x:v>3.821936845779419</x:v>
      </x:c>
      <x:c r="E34" s="16" t="n">
        <x:v>3.802577495574951</x:v>
      </x:c>
      <x:c r="F34" s="16" t="n">
        <x:v>3.802797794342041</x:v>
      </x:c>
      <x:c r="G34" s="16" t="n">
        <x:f>F34-E34</x:f>
        <x:v>0.00022029876708984375</x:v>
      </x:c>
      <x:c r="H34" s="16" t="n">
        <x:f>F34-D34</x:f>
        <x:v>-0.01913905143737793</x:v>
      </x:c>
      <x:c r="I34" t="n">
        <x:f>IF(F34&lt;E34,1,0)</x:f>
        <x:v>0</x:v>
      </x:c>
      <x:c r="J34" t="n">
        <x:f>IF(F34&lt;D34,1,0)</x:f>
        <x:v>1</x:v>
      </x:c>
      <x:c r="K34" s="17" t="n">
        <x:v>0.78125</x:v>
      </x:c>
      <x:c r="L34" s="17" t="n">
        <x:v>0.6407141463901398</x:v>
      </x:c>
      <x:c r="M34" t="n">
        <x:v>40</x:v>
      </x:c>
      <x:c r="N34" t="n">
        <x:v>26</x:v>
      </x:c>
      <x:c r="O34" s="16" t="n">
        <x:v>3.9234209060668945</x:v>
      </x:c>
      <x:c r="P34" s="16" t="n">
        <x:v>3.9241888523101807</x:v>
      </x:c>
      <x:c r="Q34" s="16" t="n">
        <x:v>0.9875</x:v>
      </x:c>
      <x:c r="R34" s="16" t="n">
        <x:v>0.9875</x:v>
      </x:c>
      <x:c r="S34" s="16" t="n">
        <x:v>0.08467623541838</x:v>
      </x:c>
      <x:c r="T34" s="16" t="n">
        <x:v>0.07722825287377</x:v>
      </x:c>
      <x:c r="U34" t="str">
        <x:v>[0.2523285327225088,0.25617420240554656,0.24910206220505654,0.24239515277134277]</x:v>
      </x:c>
      <x:c r="V34" t="str">
        <x:v>[0.2518735937315027,0.2545322184122758,0.24946282388689844,0.24413138799612655]</x:v>
      </x:c>
      <x:c r="W34" s="16" t="n">
        <x:v>0.24239515277134277</x:v>
      </x:c>
      <x:c r="X34" s="16" t="n">
        <x:v>0.24413138799612655</x:v>
      </x:c>
      <x:c r="Y34" s="16" t="n">
        <x:v>310.26580810546875</x:v>
      </x:c>
      <x:c r="Z34" s="16" t="n">
        <x:v>310.6102294921875</x:v>
      </x:c>
      <x:c r="AA34" s="16" t="n">
        <x:v>0.9875</x:v>
      </x:c>
      <x:c r="AB34" s="16" t="n">
        <x:v>0.9875</x:v>
      </x:c>
      <x:c r="AC34" s="16" t="n">
        <x:v>0.9875</x:v>
      </x:c>
      <x:c r="AD34" s="16" t="n">
        <x:v>0.9875</x:v>
      </x:c>
      <x:c r="AE34" s="16" t="n">
        <x:v>0.9654733196288965</x:v>
      </x:c>
      <x:c r="AF34" s="16" t="n">
        <x:v>0.9654733196288965</x:v>
      </x:c>
      <x:c r="AG34" s="16" t="n">
        <x:v>0.9654733196288965</x:v>
      </x:c>
      <x:c r="AH34" s="16" t="n">
        <x:v>0.9654733196288965</x:v>
      </x:c>
      <x:c r="AI34" t="n">
        <x:f>IF(W34&lt;'Protocol'!$B$8,1,0)</x:f>
        <x:v>0</x:v>
      </x:c>
      <x:c r="AJ34" t="n">
        <x:f>IF(X34&lt;'Protocol'!$B$8,1,0)</x:f>
        <x:v>0</x:v>
      </x:c>
      <x:c r="AK34" t="n">
        <x:f>IF(AND(AI34=1,AJ34=0),1,0)</x:f>
        <x:v>0</x:v>
      </x:c>
      <x:c r="AL34" t="n">
        <x:f>IF(AND(AJ34=1,AI34=0),1,0)</x:f>
        <x:v>0</x:v>
      </x:c>
      <x:c r="AM34" t="n">
        <x:f>IF(Q34&lt;'Protocol'!$B$9,1,0)</x:f>
        <x:v>0</x:v>
      </x:c>
      <x:c r="AN34" t="n">
        <x:f>IF(R34&lt;'Protocol'!$B$9,1,0)</x:f>
        <x:v>0</x:v>
      </x:c>
      <x:c r="AO34" t="n">
        <x:f>R34-Q34</x:f>
        <x:v>0</x:v>
      </x:c>
      <x:c r="AP34" t="n">
        <x:f>AB34-AA34</x:f>
        <x:v>0</x:v>
      </x:c>
      <x:c r="AQ34" t="n">
        <x:f>AD34-AC34</x:f>
        <x:v>0</x:v>
      </x:c>
      <x:c r="AR34" t="n">
        <x:f>IF(AO34&gt;0,1,0)</x:f>
        <x:v>0</x:v>
      </x:c>
      <x:c r="AS34" t="n">
        <x:f>IF(AP34&gt;0,1,0)</x:f>
        <x:v>0</x:v>
      </x:c>
      <x:c r="AT34" t="n">
        <x:f>IF(AQ34&gt;0,1,0)</x:f>
        <x:v>0</x:v>
      </x:c>
    </x:row>
    <x:row r="35">
      <x:c r="A35" t="str">
        <x:v>trunc_K5_C5</x:v>
      </x:c>
      <x:c r="B35" t="n">
        <x:v>0</x:v>
      </x:c>
      <x:c r="C35" t="str">
        <x:v>phase_c_new</x:v>
      </x:c>
      <x:c r="D35" s="16" t="n">
        <x:v>3.9291982650756836</x:v>
      </x:c>
      <x:c r="E35" s="16" t="n">
        <x:v>3.9273152351379395</x:v>
      </x:c>
      <x:c r="F35" s="16" t="n">
        <x:v>3.927316427230835</x:v>
      </x:c>
      <x:c r="G35" s="16" t="n">
        <x:f>F35-E35</x:f>
        <x:v>0.0000011920928955078125</x:v>
      </x:c>
      <x:c r="H35" s="16" t="n">
        <x:f>F35-D35</x:f>
        <x:v>-0.0018818378448486328</x:v>
      </x:c>
      <x:c r="I35" t="n">
        <x:f>IF(F35&lt;E35,1,0)</x:f>
        <x:v>0</x:v>
      </x:c>
      <x:c r="J35" t="n">
        <x:f>IF(F35&lt;D35,1,0)</x:f>
        <x:v>1</x:v>
      </x:c>
      <x:c r="K35" s="17" t="n">
        <x:v>0.965</x:v>
      </x:c>
      <x:c r="L35" s="17" t="n">
        <x:v>0.9153379123039297</x:v>
      </x:c>
      <x:c r="M35" t="n">
        <x:v>31</x:v>
      </x:c>
      <x:c r="N35" t="n">
        <x:v>31</x:v>
      </x:c>
      <x:c r="O35" s="16" t="n">
        <x:v>4.139756202697754</x:v>
      </x:c>
      <x:c r="P35" s="16" t="n">
        <x:v>4.139750957489014</x:v>
      </x:c>
      <x:c r="Q35" s="16" t="n">
        <x:v>0.94</x:v>
      </x:c>
      <x:c r="R35" s="16" t="n">
        <x:v>0.94</x:v>
      </x:c>
      <x:c r="S35" s="16" t="n">
        <x:v>0.05384956762435</x:v>
      </x:c>
      <x:c r="T35" s="16" t="n">
        <x:v>0.0545418487112</x:v>
      </x:c>
      <x:c r="U35" t="str">
        <x:v>[0.19169981508368736,0.20231064114751304,0.20374134680713396,0.20042196253955077,0.20182619890766257]</x:v>
      </x:c>
      <x:c r="V35" t="str">
        <x:v>[0.1934161726714571,0.20186722462281995,0.20295013132188996,0.2003047341167252,0.2014617133488807]</x:v>
      </x:c>
      <x:c r="W35" s="16" t="n">
        <x:v>0.19169981508368736</x:v>
      </x:c>
      <x:c r="X35" s="16" t="n">
        <x:v>0.1934161726714571</x:v>
      </x:c>
      <x:c r="Y35" s="16" t="n">
        <x:v>306.7197265625</x:v>
      </x:c>
      <x:c r="Z35" s="16" t="n">
        <x:v>306.8323669433594</x:v>
      </x:c>
      <x:c r="AA35" s="16" t="n">
        <x:v>0.97</x:v>
      </x:c>
      <x:c r="AB35" s="16" t="n">
        <x:v>0.97</x:v>
      </x:c>
      <x:c r="AC35" s="16" t="n">
        <x:v>0.97</x:v>
      </x:c>
      <x:c r="AD35" s="16" t="n">
        <x:v>0.97</x:v>
      </x:c>
      <x:c r="AE35" s="16" t="n">
        <x:v>0.9269387712286664</x:v>
      </x:c>
      <x:c r="AF35" s="16" t="n">
        <x:v>0.9269387712286664</x:v>
      </x:c>
      <x:c r="AG35" s="16" t="n">
        <x:v>0.9269387712286664</x:v>
      </x:c>
      <x:c r="AH35" s="16" t="n">
        <x:v>0.9269387712286664</x:v>
      </x:c>
      <x:c r="AI35" t="n">
        <x:f>IF(W35&lt;'Protocol'!$B$8,1,0)</x:f>
        <x:v>0</x:v>
      </x:c>
      <x:c r="AJ35" t="n">
        <x:f>IF(X35&lt;'Protocol'!$B$8,1,0)</x:f>
        <x:v>0</x:v>
      </x:c>
      <x:c r="AK35" t="n">
        <x:f>IF(AND(AI35=1,AJ35=0),1,0)</x:f>
        <x:v>0</x:v>
      </x:c>
      <x:c r="AL35" t="n">
        <x:f>IF(AND(AJ35=1,AI35=0),1,0)</x:f>
        <x:v>0</x:v>
      </x:c>
      <x:c r="AM35" t="n">
        <x:f>IF(Q35&lt;'Protocol'!$B$9,1,0)</x:f>
        <x:v>0</x:v>
      </x:c>
      <x:c r="AN35" t="n">
        <x:f>IF(R35&lt;'Protocol'!$B$9,1,0)</x:f>
        <x:v>0</x:v>
      </x:c>
      <x:c r="AO35" t="n">
        <x:f>R35-Q35</x:f>
        <x:v>0</x:v>
      </x:c>
      <x:c r="AP35" t="n">
        <x:f>AB35-AA35</x:f>
        <x:v>0</x:v>
      </x:c>
      <x:c r="AQ35" t="n">
        <x:f>AD35-AC35</x:f>
        <x:v>0</x:v>
      </x:c>
      <x:c r="AR35" t="n">
        <x:f>IF(AO35&gt;0,1,0)</x:f>
        <x:v>0</x:v>
      </x:c>
      <x:c r="AS35" t="n">
        <x:f>IF(AP35&gt;0,1,0)</x:f>
        <x:v>0</x:v>
      </x:c>
      <x:c r="AT35" t="n">
        <x:f>IF(AQ35&gt;0,1,0)</x:f>
        <x:v>0</x:v>
      </x:c>
    </x:row>
    <x:row r="36">
      <x:c r="A36" t="str">
        <x:v>trunc_K5_C5</x:v>
      </x:c>
      <x:c r="B36" t="n">
        <x:v>1</x:v>
      </x:c>
      <x:c r="C36" t="str">
        <x:v>phase_c_new</x:v>
      </x:c>
      <x:c r="D36" s="16" t="n">
        <x:v>3.9636662006378174</x:v>
      </x:c>
      <x:c r="E36" s="16" t="n">
        <x:v>3.9262328147888184</x:v>
      </x:c>
      <x:c r="F36" s="16" t="n">
        <x:v>3.926588773727417</x:v>
      </x:c>
      <x:c r="G36" s="16" t="n">
        <x:f>F36-E36</x:f>
        <x:v>0.0003559589385986328</x:v>
      </x:c>
      <x:c r="H36" s="16" t="n">
        <x:f>F36-D36</x:f>
        <x:v>-0.03707742691040039</x:v>
      </x:c>
      <x:c r="I36" t="n">
        <x:f>IF(F36&lt;E36,1,0)</x:f>
        <x:v>0</x:v>
      </x:c>
      <x:c r="J36" t="n">
        <x:f>IF(F36&lt;D36,1,0)</x:f>
        <x:v>1</x:v>
      </x:c>
      <x:c r="K36" s="17" t="n">
        <x:v>0.59</x:v>
      </x:c>
      <x:c r="L36" s="17" t="n">
        <x:v>0.4617996295203689</x:v>
      </x:c>
      <x:c r="M36" t="n">
        <x:v>23</x:v>
      </x:c>
      <x:c r="N36" t="n">
        <x:v>23</x:v>
      </x:c>
      <x:c r="O36" s="16" t="n">
        <x:v>4.141440391540527</x:v>
      </x:c>
      <x:c r="P36" s="16" t="n">
        <x:v>4.141851425170898</x:v>
      </x:c>
      <x:c r="Q36" s="16" t="n">
        <x:v>0.945</x:v>
      </x:c>
      <x:c r="R36" s="16" t="n">
        <x:v>0.945</x:v>
      </x:c>
      <x:c r="S36" s="16" t="n">
        <x:v>0.10076440265824</x:v>
      </x:c>
      <x:c r="T36" s="16" t="n">
        <x:v>0.09000055749245</x:v>
      </x:c>
      <x:c r="U36" t="str">
        <x:v>[0.20073205960672527,0.1980121343214794,0.19110657255103383,0.20829377544865793,0.20185550557661158]</x:v>
      </x:c>
      <x:c r="V36" t="str">
        <x:v>[0.20065129113037028,0.19841030003592355,0.19278868186094558,0.206663015007325,0.20148671566833992]</x:v>
      </x:c>
      <x:c r="W36" s="16" t="n">
        <x:v>0.19110657255103383</x:v>
      </x:c>
      <x:c r="X36" s="16" t="n">
        <x:v>0.19278868186094558</x:v>
      </x:c>
      <x:c r="Y36" s="16" t="n">
        <x:v>305.7705078125</x:v>
      </x:c>
      <x:c r="Z36" s="16" t="n">
        <x:v>305.577392578125</x:v>
      </x:c>
      <x:c r="AA36" s="16" t="n">
        <x:v>0.97</x:v>
      </x:c>
      <x:c r="AB36" s="16" t="n">
        <x:v>0.97</x:v>
      </x:c>
      <x:c r="AC36" s="16" t="n">
        <x:v>0.97</x:v>
      </x:c>
      <x:c r="AD36" s="16" t="n">
        <x:v>0.97</x:v>
      </x:c>
      <x:c r="AE36" s="16" t="n">
        <x:v>0.9276673560231777</x:v>
      </x:c>
      <x:c r="AF36" s="16" t="n">
        <x:v>0.9276673560231777</x:v>
      </x:c>
      <x:c r="AG36" s="16" t="n">
        <x:v>0.9276673560231777</x:v>
      </x:c>
      <x:c r="AH36" s="16" t="n">
        <x:v>0.9276673560231777</x:v>
      </x:c>
      <x:c r="AI36" t="n">
        <x:f>IF(W36&lt;'Protocol'!$B$8,1,0)</x:f>
        <x:v>0</x:v>
      </x:c>
      <x:c r="AJ36" t="n">
        <x:f>IF(X36&lt;'Protocol'!$B$8,1,0)</x:f>
        <x:v>0</x:v>
      </x:c>
      <x:c r="AK36" t="n">
        <x:f>IF(AND(AI36=1,AJ36=0),1,0)</x:f>
        <x:v>0</x:v>
      </x:c>
      <x:c r="AL36" t="n">
        <x:f>IF(AND(AJ36=1,AI36=0),1,0)</x:f>
        <x:v>0</x:v>
      </x:c>
      <x:c r="AM36" t="n">
        <x:f>IF(Q36&lt;'Protocol'!$B$9,1,0)</x:f>
        <x:v>0</x:v>
      </x:c>
      <x:c r="AN36" t="n">
        <x:f>IF(R36&lt;'Protocol'!$B$9,1,0)</x:f>
        <x:v>0</x:v>
      </x:c>
      <x:c r="AO36" t="n">
        <x:f>R36-Q36</x:f>
        <x:v>0</x:v>
      </x:c>
      <x:c r="AP36" t="n">
        <x:f>AB36-AA36</x:f>
        <x:v>0</x:v>
      </x:c>
      <x:c r="AQ36" t="n">
        <x:f>AD36-AC36</x:f>
        <x:v>0</x:v>
      </x:c>
      <x:c r="AR36" t="n">
        <x:f>IF(AO36&gt;0,1,0)</x:f>
        <x:v>0</x:v>
      </x:c>
      <x:c r="AS36" t="n">
        <x:f>IF(AP36&gt;0,1,0)</x:f>
        <x:v>0</x:v>
      </x:c>
      <x:c r="AT36" t="n">
        <x:f>IF(AQ36&gt;0,1,0)</x:f>
        <x:v>0</x:v>
      </x:c>
    </x:row>
    <x:row r="37">
      <x:c r="A37" t="str">
        <x:v>trunc_K5_C5</x:v>
      </x:c>
      <x:c r="B37" t="n">
        <x:v>2</x:v>
      </x:c>
      <x:c r="C37" t="str">
        <x:v>phase_c_new</x:v>
      </x:c>
      <x:c r="D37" s="16" t="n">
        <x:v>3.9286081790924072</x:v>
      </x:c>
      <x:c r="E37" s="16" t="n">
        <x:v>3.9291932582855225</x:v>
      </x:c>
      <x:c r="F37" s="16" t="n">
        <x:v>3.929696559906006</x:v>
      </x:c>
      <x:c r="G37" s="16" t="n">
        <x:f>F37-E37</x:f>
        <x:v>0.0005033016204833984</x:v>
      </x:c>
      <x:c r="H37" s="16" t="n">
        <x:f>F37-D37</x:f>
        <x:v>0.0010883808135986328</x:v>
      </x:c>
      <x:c r="I37" t="n">
        <x:f>IF(F37&lt;E37,1,0)</x:f>
        <x:v>0</x:v>
      </x:c>
      <x:c r="J37" t="n">
        <x:f>IF(F37&lt;D37,1,0)</x:f>
        <x:v>0</x:v>
      </x:c>
      <x:c r="K37" s="17" t="n">
        <x:v>0.975</x:v>
      </x:c>
      <x:c r="L37" s="17" t="n">
        <x:v>0.938793519680745</x:v>
      </x:c>
      <x:c r="M37" t="n">
        <x:v>55</x:v>
      </x:c>
      <x:c r="N37" t="n">
        <x:v>54</x:v>
      </x:c>
      <x:c r="O37" s="16" t="n">
        <x:v>4.141133785247803</x:v>
      </x:c>
      <x:c r="P37" s="16" t="n">
        <x:v>4.1406779289245605</x:v>
      </x:c>
      <x:c r="Q37" s="16" t="n">
        <x:v>0.945</x:v>
      </x:c>
      <x:c r="R37" s="16" t="n">
        <x:v>0.95</x:v>
      </x:c>
      <x:c r="S37" s="16" t="n">
        <x:v>0.01462189236814</x:v>
      </x:c>
      <x:c r="T37" s="16" t="n">
        <x:v>0</x:v>
      </x:c>
      <x:c r="U37" t="str">
        <x:v>[0.19985256262398368,0.20187644151697598,0.20919523211965935,0.18930881362760635,0.1997669564942336]</x:v>
      </x:c>
      <x:c r="V37" t="str">
        <x:v>[0.2002885453614908,0.20149248033197859,0.2051498615532738,0.19137451327888805,0.2016946600695396]</x:v>
      </x:c>
      <x:c r="W37" s="16" t="n">
        <x:v>0.18930881362760635</x:v>
      </x:c>
      <x:c r="X37" s="16" t="n">
        <x:v>0.19137451327888805</x:v>
      </x:c>
      <x:c r="Y37" s="16" t="n">
        <x:v>302.89410400390625</x:v>
      </x:c>
      <x:c r="Z37" s="16" t="n">
        <x:v>302.7490234375</x:v>
      </x:c>
      <x:c r="AA37" s="16" t="n">
        <x:v>0.975</x:v>
      </x:c>
      <x:c r="AB37" s="16" t="n">
        <x:v>0.975</x:v>
      </x:c>
      <x:c r="AC37" s="16" t="n">
        <x:v>0.975</x:v>
      </x:c>
      <x:c r="AD37" s="16" t="n">
        <x:v>0.975</x:v>
      </x:c>
      <x:c r="AE37" s="16" t="n">
        <x:v>0.9398834021014638</x:v>
      </x:c>
      <x:c r="AF37" s="16" t="n">
        <x:v>0.9396964171659316</x:v>
      </x:c>
      <x:c r="AG37" s="16" t="n">
        <x:v>0.9398834021014638</x:v>
      </x:c>
      <x:c r="AH37" s="16" t="n">
        <x:v>0.9396964171659316</x:v>
      </x:c>
      <x:c r="AI37" t="n">
        <x:f>IF(W37&lt;'Protocol'!$B$8,1,0)</x:f>
        <x:v>0</x:v>
      </x:c>
      <x:c r="AJ37" t="n">
        <x:f>IF(X37&lt;'Protocol'!$B$8,1,0)</x:f>
        <x:v>0</x:v>
      </x:c>
      <x:c r="AK37" t="n">
        <x:f>IF(AND(AI37=1,AJ37=0),1,0)</x:f>
        <x:v>0</x:v>
      </x:c>
      <x:c r="AL37" t="n">
        <x:f>IF(AND(AJ37=1,AI37=0),1,0)</x:f>
        <x:v>0</x:v>
      </x:c>
      <x:c r="AM37" t="n">
        <x:f>IF(Q37&lt;'Protocol'!$B$9,1,0)</x:f>
        <x:v>0</x:v>
      </x:c>
      <x:c r="AN37" t="n">
        <x:f>IF(R37&lt;'Protocol'!$B$9,1,0)</x:f>
        <x:v>0</x:v>
      </x:c>
      <x:c r="AO37" t="n">
        <x:f>R37-Q37</x:f>
        <x:v>0.0050000000000000044</x:v>
      </x:c>
      <x:c r="AP37" t="n">
        <x:f>AB37-AA37</x:f>
        <x:v>0</x:v>
      </x:c>
      <x:c r="AQ37" t="n">
        <x:f>AD37-AC37</x:f>
        <x:v>0</x:v>
      </x:c>
      <x:c r="AR37" t="n">
        <x:f>IF(AO37&gt;0,1,0)</x:f>
        <x:v>1</x:v>
      </x:c>
      <x:c r="AS37" t="n">
        <x:f>IF(AP37&gt;0,1,0)</x:f>
        <x:v>0</x:v>
      </x:c>
      <x:c r="AT37" t="n">
        <x:f>IF(AQ37&gt;0,1,0)</x:f>
        <x:v>0</x:v>
      </x:c>
    </x:row>
  </x:sheetData>
  <x:conditionalFormatting sqref="G2:H37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AI2:AJ37">
    <x:cfRule type="cellIs" dxfId="2" priority="3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d53923983c48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14" hidden="0" customWidth="1"/>
    <x:col min="4" max="4" width="10" hidden="0" customWidth="1"/>
    <x:col min="5" max="5" width="19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36" hidden="0" customWidth="1"/>
    <x:col min="16" max="16" width="20" hidden="0" customWidth="1"/>
    <x:col min="17" max="17" width="20" hidden="0" customWidth="1"/>
  </x:cols>
  <x:sheetData>
    <x:row r="1">
      <x:c r="A1" s="7" t="str">
        <x:v>dataset</x:v>
      </x:c>
      <x:c r="B1" s="15" t="str">
        <x:v>seed</x:v>
      </x:c>
      <x:c r="C1" s="15" t="str">
        <x:v>variant</x:v>
      </x:c>
      <x:c r="D1" s="15" t="str">
        <x:v>a_pi</x:v>
      </x:c>
      <x:c r="E1" s="15" t="str">
        <x:v>source</x:v>
      </x:c>
      <x:c r="F1" s="15" t="str">
        <x:v>test_nll</x:v>
      </x:c>
      <x:c r="G1" s="15" t="str">
        <x:v>test_purity</x:v>
      </x:c>
      <x:c r="H1" s="15" t="str">
        <x:v>test_ari</x:v>
      </x:c>
      <x:c r="I1" s="15" t="str">
        <x:v>posterior_purity</x:v>
      </x:c>
      <x:c r="J1" s="15" t="str">
        <x:v>posterior_ari</x:v>
      </x:c>
      <x:c r="K1" s="15" t="str">
        <x:v>best_step_or_cycle</x:v>
      </x:c>
      <x:c r="L1" s="15" t="str">
        <x:v>validation_nll</x:v>
      </x:c>
      <x:c r="M1" s="15" t="str">
        <x:v>validation_purity</x:v>
      </x:c>
      <x:c r="N1" s="15" t="str">
        <x:v>alpha</x:v>
      </x:c>
      <x:c r="O1" s="15" t="str">
        <x:v>weights</x:v>
      </x:c>
      <x:c r="P1" s="15" t="str">
        <x:v>min_weight</x:v>
      </x:c>
      <x:c r="Q1" s="8" t="str">
        <x:v>responsibility_min_mass</x:v>
      </x:c>
    </x:row>
    <x:row r="2">
      <x:c r="A2" t="str">
        <x:v>K2_C5</x:v>
      </x:c>
      <x:c r="B2" t="n">
        <x:v>0</x:v>
      </x:c>
      <x:c r="C2" t="str">
        <x:v>pure</x:v>
      </x:c>
      <x:c r="D2"/>
      <x:c r="E2" t="str">
        <x:v>baseline</x:v>
      </x:c>
      <x:c r="F2" s="16" t="n">
        <x:v>1.975287675857544</x:v>
      </x:c>
      <x:c r="G2" s="16" t="n">
        <x:v>1</x:v>
      </x:c>
      <x:c r="H2" s="16" t="n">
        <x:v>1</x:v>
      </x:c>
      <x:c r="I2" s="16"/>
      <x:c r="J2" s="16"/>
      <x:c r="K2"/>
      <x:c r="L2" s="16"/>
      <x:c r="M2" s="16"/>
      <x:c r="N2" s="16"/>
      <x:c r="O2"/>
      <x:c r="P2" s="16"/>
      <x:c r="Q2" s="16"/>
    </x:row>
    <x:row r="3">
      <x:c r="A3" t="str">
        <x:v>K2_C5</x:v>
      </x:c>
      <x:c r="B3" t="n">
        <x:v>0</x:v>
      </x:c>
      <x:c r="C3" t="str">
        <x:v>wishart_a1</x:v>
      </x:c>
      <x:c r="D3" t="n">
        <x:v>1</x:v>
      </x:c>
      <x:c r="E3" t="str">
        <x:v>baseline</x:v>
      </x:c>
      <x:c r="F3" s="16" t="n">
        <x:v>1.9879248142242432</x:v>
      </x:c>
      <x:c r="G3" s="16" t="n">
        <x:v>1</x:v>
      </x:c>
      <x:c r="H3" s="16" t="n">
        <x:v>1</x:v>
      </x:c>
      <x:c r="I3" s="16" t="n">
        <x:v>1</x:v>
      </x:c>
      <x:c r="J3" s="16" t="n">
        <x:v>1</x:v>
      </x:c>
      <x:c r="K3" t="n">
        <x:v>67</x:v>
      </x:c>
      <x:c r="L3" s="16" t="n">
        <x:v>2.029184579849243</x:v>
      </x:c>
      <x:c r="M3" s="16" t="n">
        <x:v>1</x:v>
      </x:c>
      <x:c r="N3" s="16" t="n">
        <x:v>0.17870054235552</x:v>
      </x:c>
      <x:c r="O3" t="str">
        <x:v>[0.5015625274373775,0.4984374958143576]</x:v>
      </x:c>
      <x:c r="P3" s="16" t="n">
        <x:v>0.4984374958143576</x:v>
      </x:c>
      <x:c r="Q3" s="16" t="n">
        <x:v>319</x:v>
      </x:c>
    </x:row>
    <x:row r="4">
      <x:c r="A4" t="str">
        <x:v>K2_C5</x:v>
      </x:c>
      <x:c r="B4" t="n">
        <x:v>0</x:v>
      </x:c>
      <x:c r="C4" t="str">
        <x:v>wishart_a81</x:v>
      </x:c>
      <x:c r="D4" t="n">
        <x:v>81</x:v>
      </x:c>
      <x:c r="E4" t="str">
        <x:v>phase_c_new</x:v>
      </x:c>
      <x:c r="F4" s="16" t="n">
        <x:v>1.986150860786438</x:v>
      </x:c>
      <x:c r="G4" s="16" t="n">
        <x:v>1</x:v>
      </x:c>
      <x:c r="H4" s="16" t="n">
        <x:v>1</x:v>
      </x:c>
      <x:c r="I4" s="16" t="n">
        <x:v>1</x:v>
      </x:c>
      <x:c r="J4" s="16" t="n">
        <x:v>1</x:v>
      </x:c>
      <x:c r="K4" t="n">
        <x:v>66</x:v>
      </x:c>
      <x:c r="L4" s="16" t="n">
        <x:v>2.019740104675293</x:v>
      </x:c>
      <x:c r="M4" s="16" t="n">
        <x:v>1</x:v>
      </x:c>
      <x:c r="N4" s="16" t="n">
        <x:v>0.19280322390852</x:v>
      </x:c>
      <x:c r="O4" t="str">
        <x:v>[0.5012500379324406,0.4987499858611743]</x:v>
      </x:c>
      <x:c r="P4" s="16" t="n">
        <x:v>0.4987499858611743</x:v>
      </x:c>
      <x:c r="Q4" s="16" t="n">
        <x:v>319</x:v>
      </x:c>
    </x:row>
    <x:row r="5">
      <x:c r="A5" t="str">
        <x:v>K2_C5</x:v>
      </x:c>
      <x:c r="B5" t="n">
        <x:v>1</x:v>
      </x:c>
      <x:c r="C5" t="str">
        <x:v>pure</x:v>
      </x:c>
      <x:c r="D5"/>
      <x:c r="E5" t="str">
        <x:v>baseline</x:v>
      </x:c>
      <x:c r="F5" s="16" t="n">
        <x:v>1.9867238998413086</x:v>
      </x:c>
      <x:c r="G5" s="16" t="n">
        <x:v>1</x:v>
      </x:c>
      <x:c r="H5" s="16" t="n">
        <x:v>1</x:v>
      </x:c>
      <x:c r="I5" s="16"/>
      <x:c r="J5" s="16"/>
      <x:c r="K5"/>
      <x:c r="L5" s="16"/>
      <x:c r="M5" s="16"/>
      <x:c r="N5" s="16"/>
      <x:c r="O5"/>
      <x:c r="P5" s="16"/>
      <x:c r="Q5" s="16"/>
    </x:row>
    <x:row r="6">
      <x:c r="A6" t="str">
        <x:v>K2_C5</x:v>
      </x:c>
      <x:c r="B6" t="n">
        <x:v>1</x:v>
      </x:c>
      <x:c r="C6" t="str">
        <x:v>wishart_a1</x:v>
      </x:c>
      <x:c r="D6" t="n">
        <x:v>1</x:v>
      </x:c>
      <x:c r="E6" t="str">
        <x:v>baseline</x:v>
      </x:c>
      <x:c r="F6" s="16" t="n">
        <x:v>1.9778409004211426</x:v>
      </x:c>
      <x:c r="G6" s="16" t="n">
        <x:v>1</x:v>
      </x:c>
      <x:c r="H6" s="16" t="n">
        <x:v>1</x:v>
      </x:c>
      <x:c r="I6" s="16" t="n">
        <x:v>1</x:v>
      </x:c>
      <x:c r="J6" s="16" t="n">
        <x:v>1</x:v>
      </x:c>
      <x:c r="K6" t="n">
        <x:v>75</x:v>
      </x:c>
      <x:c r="L6" s="16" t="n">
        <x:v>2.011235237121582</x:v>
      </x:c>
      <x:c r="M6" s="16" t="n">
        <x:v>1</x:v>
      </x:c>
      <x:c r="N6" s="16" t="n">
        <x:v>0.17740733775552</x:v>
      </x:c>
      <x:c r="O6" t="str">
        <x:v>[0.5015625274373775,0.4984374958143576]</x:v>
      </x:c>
      <x:c r="P6" s="16" t="n">
        <x:v>0.4984374958143576</x:v>
      </x:c>
      <x:c r="Q6" s="16" t="n">
        <x:v>319</x:v>
      </x:c>
    </x:row>
    <x:row r="7">
      <x:c r="A7" t="str">
        <x:v>K2_C5</x:v>
      </x:c>
      <x:c r="B7" t="n">
        <x:v>1</x:v>
      </x:c>
      <x:c r="C7" t="str">
        <x:v>wishart_a81</x:v>
      </x:c>
      <x:c r="D7" t="n">
        <x:v>81</x:v>
      </x:c>
      <x:c r="E7" t="str">
        <x:v>phase_c_new</x:v>
      </x:c>
      <x:c r="F7" s="16" t="n">
        <x:v>1.9848426580429077</x:v>
      </x:c>
      <x:c r="G7" s="16" t="n">
        <x:v>1</x:v>
      </x:c>
      <x:c r="H7" s="16" t="n">
        <x:v>1</x:v>
      </x:c>
      <x:c r="I7" s="16" t="n">
        <x:v>1</x:v>
      </x:c>
      <x:c r="J7" s="16" t="n">
        <x:v>1</x:v>
      </x:c>
      <x:c r="K7" t="n">
        <x:v>71</x:v>
      </x:c>
      <x:c r="L7" s="16" t="n">
        <x:v>2.0236783027648926</x:v>
      </x:c>
      <x:c r="M7" s="16" t="n">
        <x:v>1</x:v>
      </x:c>
      <x:c r="N7" s="16" t="n">
        <x:v>0.17688812694038</x:v>
      </x:c>
      <x:c r="O7" t="str">
        <x:v>[0.5012500379324406,0.4987499858611743]</x:v>
      </x:c>
      <x:c r="P7" s="16" t="n">
        <x:v>0.4987499858611743</x:v>
      </x:c>
      <x:c r="Q7" s="16" t="n">
        <x:v>319</x:v>
      </x:c>
    </x:row>
    <x:row r="8">
      <x:c r="A8" t="str">
        <x:v>K2_C5</x:v>
      </x:c>
      <x:c r="B8" t="n">
        <x:v>2</x:v>
      </x:c>
      <x:c r="C8" t="str">
        <x:v>pure</x:v>
      </x:c>
      <x:c r="D8"/>
      <x:c r="E8" t="str">
        <x:v>baseline</x:v>
      </x:c>
      <x:c r="F8" s="16" t="n">
        <x:v>1.9806567430496216</x:v>
      </x:c>
      <x:c r="G8" s="16" t="n">
        <x:v>1</x:v>
      </x:c>
      <x:c r="H8" s="16" t="n">
        <x:v>1</x:v>
      </x:c>
      <x:c r="I8" s="16"/>
      <x:c r="J8" s="16"/>
      <x:c r="K8"/>
      <x:c r="L8" s="16"/>
      <x:c r="M8" s="16"/>
      <x:c r="N8" s="16"/>
      <x:c r="O8"/>
      <x:c r="P8" s="16"/>
      <x:c r="Q8" s="16"/>
    </x:row>
    <x:row r="9">
      <x:c r="A9" t="str">
        <x:v>K2_C5</x:v>
      </x:c>
      <x:c r="B9" t="n">
        <x:v>2</x:v>
      </x:c>
      <x:c r="C9" t="str">
        <x:v>wishart_a1</x:v>
      </x:c>
      <x:c r="D9" t="n">
        <x:v>1</x:v>
      </x:c>
      <x:c r="E9" t="str">
        <x:v>baseline</x:v>
      </x:c>
      <x:c r="F9" s="16" t="n">
        <x:v>1.9706695079803467</x:v>
      </x:c>
      <x:c r="G9" s="16" t="n">
        <x:v>1</x:v>
      </x:c>
      <x:c r="H9" s="16" t="n">
        <x:v>1</x:v>
      </x:c>
      <x:c r="I9" s="16" t="n">
        <x:v>1</x:v>
      </x:c>
      <x:c r="J9" s="16" t="n">
        <x:v>1</x:v>
      </x:c>
      <x:c r="K9" t="n">
        <x:v>56</x:v>
      </x:c>
      <x:c r="L9" s="16" t="n">
        <x:v>2.023033618927002</x:v>
      </x:c>
      <x:c r="M9" s="16" t="n">
        <x:v>1</x:v>
      </x:c>
      <x:c r="N9" s="16" t="n">
        <x:v>0.15449736209655</x:v>
      </x:c>
      <x:c r="O9" t="str">
        <x:v>[0.5015625274373775,0.4984374958143576]</x:v>
      </x:c>
      <x:c r="P9" s="16" t="n">
        <x:v>0.4984374958143576</x:v>
      </x:c>
      <x:c r="Q9" s="16" t="n">
        <x:v>319</x:v>
      </x:c>
    </x:row>
    <x:row r="10">
      <x:c r="A10" t="str">
        <x:v>K2_C5</x:v>
      </x:c>
      <x:c r="B10" t="n">
        <x:v>2</x:v>
      </x:c>
      <x:c r="C10" t="str">
        <x:v>wishart_a81</x:v>
      </x:c>
      <x:c r="D10" t="n">
        <x:v>81</x:v>
      </x:c>
      <x:c r="E10" t="str">
        <x:v>phase_c_new</x:v>
      </x:c>
      <x:c r="F10" s="16" t="n">
        <x:v>1.9951368570327759</x:v>
      </x:c>
      <x:c r="G10" s="16" t="n">
        <x:v>1</x:v>
      </x:c>
      <x:c r="H10" s="16" t="n">
        <x:v>1</x:v>
      </x:c>
      <x:c r="I10" s="16" t="n">
        <x:v>1</x:v>
      </x:c>
      <x:c r="J10" s="16" t="n">
        <x:v>1</x:v>
      </x:c>
      <x:c r="K10" t="n">
        <x:v>72</x:v>
      </x:c>
      <x:c r="L10" s="16" t="n">
        <x:v>2.0260086059570312</x:v>
      </x:c>
      <x:c r="M10" s="16" t="n">
        <x:v>1</x:v>
      </x:c>
      <x:c r="N10" s="16" t="n">
        <x:v>0.12583889513676</x:v>
      </x:c>
      <x:c r="O10" t="str">
        <x:v>[0.5012500379324406,0.4987499858611743]</x:v>
      </x:c>
      <x:c r="P10" s="16" t="n">
        <x:v>0.4987499858611743</x:v>
      </x:c>
      <x:c r="Q10" s="16" t="n">
        <x:v>319</x:v>
      </x:c>
    </x:row>
    <x:row r="11">
      <x:c r="A11" t="str">
        <x:v>K3_C5</x:v>
      </x:c>
      <x:c r="B11" t="n">
        <x:v>0</x:v>
      </x:c>
      <x:c r="C11" t="str">
        <x:v>pure</x:v>
      </x:c>
      <x:c r="D11"/>
      <x:c r="E11" t="str">
        <x:v>baseline</x:v>
      </x:c>
      <x:c r="F11" s="16" t="n">
        <x:v>1.9894237518310547</x:v>
      </x:c>
      <x:c r="G11" s="16" t="n">
        <x:v>1</x:v>
      </x:c>
      <x:c r="H11" s="16" t="n">
        <x:v>1</x:v>
      </x:c>
      <x:c r="I11" s="16"/>
      <x:c r="J11" s="16"/>
      <x:c r="K11"/>
      <x:c r="L11" s="16"/>
      <x:c r="M11" s="16"/>
      <x:c r="N11" s="16"/>
      <x:c r="O11"/>
      <x:c r="P11" s="16"/>
      <x:c r="Q11" s="16"/>
    </x:row>
    <x:row r="12">
      <x:c r="A12" t="str">
        <x:v>K3_C5</x:v>
      </x:c>
      <x:c r="B12" t="n">
        <x:v>0</x:v>
      </x:c>
      <x:c r="C12" t="str">
        <x:v>wishart_a1</x:v>
      </x:c>
      <x:c r="D12" t="n">
        <x:v>1</x:v>
      </x:c>
      <x:c r="E12" t="str">
        <x:v>baseline</x:v>
      </x:c>
      <x:c r="F12" s="16" t="n">
        <x:v>1.9936038255691528</x:v>
      </x:c>
      <x:c r="G12" s="16" t="n">
        <x:v>1</x:v>
      </x:c>
      <x:c r="H12" s="16" t="n">
        <x:v>1</x:v>
      </x:c>
      <x:c r="I12" s="16" t="n">
        <x:v>1</x:v>
      </x:c>
      <x:c r="J12" s="16" t="n">
        <x:v>1</x:v>
      </x:c>
      <x:c r="K12" t="n">
        <x:v>70</x:v>
      </x:c>
      <x:c r="L12" s="16" t="n">
        <x:v>1.9452223777770996</x:v>
      </x:c>
      <x:c r="M12" s="16" t="n">
        <x:v>1</x:v>
      </x:c>
      <x:c r="N12" s="16" t="n">
        <x:v>0.19733426244637</x:v>
      </x:c>
      <x:c r="O12" t="str">
        <x:v>[0.33125000629844176,0.3260416834461237,0.3427083361510681]</x:v>
      </x:c>
      <x:c r="P12" s="16" t="n">
        <x:v>0.3260416834461237</x:v>
      </x:c>
      <x:c r="Q12" s="16" t="n">
        <x:v>313</x:v>
      </x:c>
    </x:row>
    <x:row r="13">
      <x:c r="A13" t="str">
        <x:v>K3_C5</x:v>
      </x:c>
      <x:c r="B13" t="n">
        <x:v>0</x:v>
      </x:c>
      <x:c r="C13" t="str">
        <x:v>wishart_a81</x:v>
      </x:c>
      <x:c r="D13" t="n">
        <x:v>81</x:v>
      </x:c>
      <x:c r="E13" t="str">
        <x:v>phase_c_new</x:v>
      </x:c>
      <x:c r="F13" s="16" t="n">
        <x:v>2.00909686088562</x:v>
      </x:c>
      <x:c r="G13" s="16" t="n">
        <x:v>1</x:v>
      </x:c>
      <x:c r="H13" s="16" t="n">
        <x:v>1</x:v>
      </x:c>
      <x:c r="I13" s="16" t="n">
        <x:v>1</x:v>
      </x:c>
      <x:c r="J13" s="16" t="n">
        <x:v>1</x:v>
      </x:c>
      <x:c r="K13" t="n">
        <x:v>75</x:v>
      </x:c>
      <x:c r="L13" s="16" t="n">
        <x:v>1.953292965888977</x:v>
      </x:c>
      <x:c r="M13" s="16" t="n">
        <x:v>1</x:v>
      </x:c>
      <x:c r="N13" s="16" t="n">
        <x:v>0.22543266224202</x:v>
      </x:c>
      <x:c r="O13" t="str">
        <x:v>[0.3316666303734254,0.32750000642625826,0.34083338198852714]</x:v>
      </x:c>
      <x:c r="P13" s="16" t="n">
        <x:v>0.32750000642625826</x:v>
      </x:c>
      <x:c r="Q13" s="16" t="n">
        <x:v>313</x:v>
      </x:c>
    </x:row>
    <x:row r="14">
      <x:c r="A14" t="str">
        <x:v>K3_C5</x:v>
      </x:c>
      <x:c r="B14" t="n">
        <x:v>1</x:v>
      </x:c>
      <x:c r="C14" t="str">
        <x:v>pure</x:v>
      </x:c>
      <x:c r="D14"/>
      <x:c r="E14" t="str">
        <x:v>baseline</x:v>
      </x:c>
      <x:c r="F14" s="16" t="n">
        <x:v>1.9863024950027466</x:v>
      </x:c>
      <x:c r="G14" s="16" t="n">
        <x:v>1</x:v>
      </x:c>
      <x:c r="H14" s="16" t="n">
        <x:v>1</x:v>
      </x:c>
      <x:c r="I14" s="16"/>
      <x:c r="J14" s="16"/>
      <x:c r="K14"/>
      <x:c r="L14" s="16"/>
      <x:c r="M14" s="16"/>
      <x:c r="N14" s="16"/>
      <x:c r="O14"/>
      <x:c r="P14" s="16"/>
      <x:c r="Q14" s="16"/>
    </x:row>
    <x:row r="15">
      <x:c r="A15" t="str">
        <x:v>K3_C5</x:v>
      </x:c>
      <x:c r="B15" t="n">
        <x:v>1</x:v>
      </x:c>
      <x:c r="C15" t="str">
        <x:v>wishart_a1</x:v>
      </x:c>
      <x:c r="D15" t="n">
        <x:v>1</x:v>
      </x:c>
      <x:c r="E15" t="str">
        <x:v>baseline</x:v>
      </x:c>
      <x:c r="F15" s="16" t="n">
        <x:v>2.024606227874756</x:v>
      </x:c>
      <x:c r="G15" s="16" t="n">
        <x:v>1</x:v>
      </x:c>
      <x:c r="H15" s="16" t="n">
        <x:v>1</x:v>
      </x:c>
      <x:c r="I15" s="16" t="n">
        <x:v>1</x:v>
      </x:c>
      <x:c r="J15" s="16" t="n">
        <x:v>1</x:v>
      </x:c>
      <x:c r="K15" t="n">
        <x:v>73</x:v>
      </x:c>
      <x:c r="L15" s="16" t="n">
        <x:v>1.964041829109192</x:v>
      </x:c>
      <x:c r="M15" s="16" t="n">
        <x:v>1</x:v>
      </x:c>
      <x:c r="N15" s="16" t="n">
        <x:v>0.25306235244721</x:v>
      </x:c>
      <x:c r="O15" t="str">
        <x:v>[0.3260416445789286,0.3427083361510681,0.331250045786522]</x:v>
      </x:c>
      <x:c r="P15" s="16" t="n">
        <x:v>0.3260416445789286</x:v>
      </x:c>
      <x:c r="Q15" s="16" t="n">
        <x:v>312.9999694824219</x:v>
      </x:c>
    </x:row>
    <x:row r="16">
      <x:c r="A16" t="str">
        <x:v>K3_C5</x:v>
      </x:c>
      <x:c r="B16" t="n">
        <x:v>1</x:v>
      </x:c>
      <x:c r="C16" t="str">
        <x:v>wishart_a81</x:v>
      </x:c>
      <x:c r="D16" t="n">
        <x:v>81</x:v>
      </x:c>
      <x:c r="E16" t="str">
        <x:v>phase_c_new</x:v>
      </x:c>
      <x:c r="F16" s="16" t="n">
        <x:v>2.1705667972564697</x:v>
      </x:c>
      <x:c r="G16" s="16" t="n">
        <x:v>1</x:v>
      </x:c>
      <x:c r="H16" s="16" t="n">
        <x:v>1</x:v>
      </x:c>
      <x:c r="I16" s="16" t="n">
        <x:v>1</x:v>
      </x:c>
      <x:c r="J16" s="16" t="n">
        <x:v>1</x:v>
      </x:c>
      <x:c r="K16" t="n">
        <x:v>75</x:v>
      </x:c>
      <x:c r="L16" s="16" t="n">
        <x:v>2.105034112930298</x:v>
      </x:c>
      <x:c r="M16" s="16" t="n">
        <x:v>1</x:v>
      </x:c>
      <x:c r="N16" s="16" t="n">
        <x:v>0.34856853999273</x:v>
      </x:c>
      <x:c r="O16" t="str">
        <x:v>[0.3269732592830682,0.3413599533778736,0.3316667885244366]</x:v>
      </x:c>
      <x:c r="P16" s="16" t="n">
        <x:v>0.3269732592830682</x:v>
      </x:c>
      <x:c r="Q16" s="16" t="n">
        <x:v>312.367919921875</x:v>
      </x:c>
    </x:row>
    <x:row r="17">
      <x:c r="A17" t="str">
        <x:v>K3_C5</x:v>
      </x:c>
      <x:c r="B17" t="n">
        <x:v>2</x:v>
      </x:c>
      <x:c r="C17" t="str">
        <x:v>pure</x:v>
      </x:c>
      <x:c r="D17"/>
      <x:c r="E17" t="str">
        <x:v>baseline</x:v>
      </x:c>
      <x:c r="F17" s="16" t="n">
        <x:v>1.9866740703582764</x:v>
      </x:c>
      <x:c r="G17" s="16" t="n">
        <x:v>1</x:v>
      </x:c>
      <x:c r="H17" s="16" t="n">
        <x:v>1</x:v>
      </x:c>
      <x:c r="I17" s="16"/>
      <x:c r="J17" s="16"/>
      <x:c r="K17"/>
      <x:c r="L17" s="16"/>
      <x:c r="M17" s="16"/>
      <x:c r="N17" s="16"/>
      <x:c r="O17"/>
      <x:c r="P17" s="16"/>
      <x:c r="Q17" s="16"/>
    </x:row>
    <x:row r="18">
      <x:c r="A18" t="str">
        <x:v>K3_C5</x:v>
      </x:c>
      <x:c r="B18" t="n">
        <x:v>2</x:v>
      </x:c>
      <x:c r="C18" t="str">
        <x:v>wishart_a1</x:v>
      </x:c>
      <x:c r="D18" t="n">
        <x:v>1</x:v>
      </x:c>
      <x:c r="E18" t="str">
        <x:v>baseline</x:v>
      </x:c>
      <x:c r="F18" s="16" t="n">
        <x:v>2.0820231437683105</x:v>
      </x:c>
      <x:c r="G18" s="16" t="n">
        <x:v>1</x:v>
      </x:c>
      <x:c r="H18" s="16" t="n">
        <x:v>1</x:v>
      </x:c>
      <x:c r="I18" s="16" t="n">
        <x:v>1</x:v>
      </x:c>
      <x:c r="J18" s="16" t="n">
        <x:v>1</x:v>
      </x:c>
      <x:c r="K18" t="n">
        <x:v>75</x:v>
      </x:c>
      <x:c r="L18" s="16" t="n">
        <x:v>2.0164170265197754</x:v>
      </x:c>
      <x:c r="M18" s="16" t="n">
        <x:v>1</x:v>
      </x:c>
      <x:c r="N18" s="16" t="n">
        <x:v>0.21726118713723</x:v>
      </x:c>
      <x:c r="O18" t="str">
        <x:v>[0.3307531060005877,0.34320715868975393,0.3260397789590111]</x:v>
      </x:c>
      <x:c r="P18" s="16" t="n">
        <x:v>0.3260397789590111</x:v>
      </x:c>
      <x:c r="Q18" s="16" t="n">
        <x:v>312.9981689453125</x:v>
      </x:c>
    </x:row>
    <x:row r="19">
      <x:c r="A19" t="str">
        <x:v>K3_C5</x:v>
      </x:c>
      <x:c r="B19" t="n">
        <x:v>2</x:v>
      </x:c>
      <x:c r="C19" t="str">
        <x:v>wishart_a81</x:v>
      </x:c>
      <x:c r="D19" t="n">
        <x:v>81</x:v>
      </x:c>
      <x:c r="E19" t="str">
        <x:v>phase_c_new</x:v>
      </x:c>
      <x:c r="F19" s="16" t="n">
        <x:v>2.051243782043457</x:v>
      </x:c>
      <x:c r="G19" s="16" t="n">
        <x:v>0.9833333333333333</x:v>
      </x:c>
      <x:c r="H19" s="16" t="n">
        <x:v>0.9524687365444585</x:v>
      </x:c>
      <x:c r="I19" s="16" t="n">
        <x:v>0.9833333333333333</x:v>
      </x:c>
      <x:c r="J19" s="16" t="n">
        <x:v>0.9524687365444585</x:v>
      </x:c>
      <x:c r="K19" t="n">
        <x:v>70</x:v>
      </x:c>
      <x:c r="L19" s="16" t="n">
        <x:v>1.9931702613830566</x:v>
      </x:c>
      <x:c r="M19" s="16" t="n">
        <x:v>1</x:v>
      </x:c>
      <x:c r="N19" s="16" t="n">
        <x:v>0.22607444210418</x:v>
      </x:c>
      <x:c r="O19" t="str">
        <x:v>[0.325957857678937,0.3465421594828869,0.32750000642625826]</x:v>
      </x:c>
      <x:c r="P19" s="16" t="n">
        <x:v>0.325957857678937</x:v>
      </x:c>
      <x:c r="Q19" s="16" t="n">
        <x:v>311.1494140625</x:v>
      </x:c>
    </x:row>
    <x:row r="20">
      <x:c r="A20" t="str">
        <x:v>K4_C5</x:v>
      </x:c>
      <x:c r="B20" t="n">
        <x:v>0</x:v>
      </x:c>
      <x:c r="C20" t="str">
        <x:v>pure</x:v>
      </x:c>
      <x:c r="D20"/>
      <x:c r="E20" t="str">
        <x:v>baseline</x:v>
      </x:c>
      <x:c r="F20" s="16" t="n">
        <x:v>1.9679322242736816</x:v>
      </x:c>
      <x:c r="G20" s="16" t="n">
        <x:v>0.7875</x:v>
      </x:c>
      <x:c r="H20" s="16" t="n">
        <x:v>0.6580140023920918</x:v>
      </x:c>
      <x:c r="I20" s="16"/>
      <x:c r="J20" s="16"/>
      <x:c r="K20"/>
      <x:c r="L20" s="16"/>
      <x:c r="M20" s="16"/>
      <x:c r="N20" s="16"/>
      <x:c r="O20"/>
      <x:c r="P20" s="16"/>
      <x:c r="Q20" s="16"/>
    </x:row>
    <x:row r="21">
      <x:c r="A21" t="str">
        <x:v>K4_C5</x:v>
      </x:c>
      <x:c r="B21" t="n">
        <x:v>0</x:v>
      </x:c>
      <x:c r="C21" t="str">
        <x:v>wishart_a1</x:v>
      </x:c>
      <x:c r="D21" t="n">
        <x:v>1</x:v>
      </x:c>
      <x:c r="E21" t="str">
        <x:v>baseline</x:v>
      </x:c>
      <x:c r="F21" s="16" t="n">
        <x:v>1.9542224407196045</x:v>
      </x:c>
      <x:c r="G21" s="16" t="n">
        <x:v>1</x:v>
      </x:c>
      <x:c r="H21" s="16" t="n">
        <x:v>1</x:v>
      </x:c>
      <x:c r="I21" s="16" t="n">
        <x:v>1</x:v>
      </x:c>
      <x:c r="J21" s="16" t="n">
        <x:v>1</x:v>
      </x:c>
      <x:c r="K21" t="n">
        <x:v>73</x:v>
      </x:c>
      <x:c r="L21" s="16" t="n">
        <x:v>2.1162023544311523</x:v>
      </x:c>
      <x:c r="M21" s="16" t="n">
        <x:v>1</x:v>
      </x:c>
      <x:c r="N21" s="16" t="n">
        <x:v>0.14397865502482</x:v>
      </x:c>
      <x:c r="O21" t="str">
        <x:v>[0.23984500202204156,0.2570297242110635,0.2523437536135559,0.2507815323002875]</x:v>
      </x:c>
      <x:c r="P21" s="16" t="n">
        <x:v>0.23984500202204156</x:v>
      </x:c>
      <x:c r="Q21" s="16" t="n">
        <x:v>307.0015869140625</x:v>
      </x:c>
    </x:row>
    <x:row r="22">
      <x:c r="A22" t="str">
        <x:v>K4_C5</x:v>
      </x:c>
      <x:c r="B22" t="n">
        <x:v>0</x:v>
      </x:c>
      <x:c r="C22" t="str">
        <x:v>wishart_a81</x:v>
      </x:c>
      <x:c r="D22" t="n">
        <x:v>81</x:v>
      </x:c>
      <x:c r="E22" t="str">
        <x:v>phase_c_new</x:v>
      </x:c>
      <x:c r="F22" s="16" t="n">
        <x:v>1.9289674758911133</x:v>
      </x:c>
      <x:c r="G22" s="16" t="n">
        <x:v>1</x:v>
      </x:c>
      <x:c r="H22" s="16" t="n">
        <x:v>1</x:v>
      </x:c>
      <x:c r="I22" s="16" t="n">
        <x:v>1</x:v>
      </x:c>
      <x:c r="J22" s="16" t="n">
        <x:v>1</x:v>
      </x:c>
      <x:c r="K22" t="n">
        <x:v>73</x:v>
      </x:c>
      <x:c r="L22" s="16" t="n">
        <x:v>2.0940892696380615</x:v>
      </x:c>
      <x:c r="M22" s="16" t="n">
        <x:v>1</x:v>
      </x:c>
      <x:c r="N22" s="16" t="n">
        <x:v>0.00168984636811</x:v>
      </x:c>
      <x:c r="O22" t="str">
        <x:v>[0.24187872973978758,0.2556243092396688,0.25187500494204784,0.25062194119422776]</x:v>
      </x:c>
      <x:c r="P22" s="16" t="n">
        <x:v>0.24187872973978758</x:v>
      </x:c>
      <x:c r="Q22" s="16" t="n">
        <x:v>307.0059509277344</x:v>
      </x:c>
    </x:row>
    <x:row r="23">
      <x:c r="A23" t="str">
        <x:v>K4_C5</x:v>
      </x:c>
      <x:c r="B23" t="n">
        <x:v>1</x:v>
      </x:c>
      <x:c r="C23" t="str">
        <x:v>pure</x:v>
      </x:c>
      <x:c r="D23"/>
      <x:c r="E23" t="str">
        <x:v>baseline</x:v>
      </x:c>
      <x:c r="F23" s="16" t="n">
        <x:v>1.9875565767288208</x:v>
      </x:c>
      <x:c r="G23" s="16" t="n">
        <x:v>0.53125</x:v>
      </x:c>
      <x:c r="H23" s="16" t="n">
        <x:v>0.2325854668364209</x:v>
      </x:c>
      <x:c r="I23" s="16"/>
      <x:c r="J23" s="16"/>
      <x:c r="K23"/>
      <x:c r="L23" s="16"/>
      <x:c r="M23" s="16"/>
      <x:c r="N23" s="16"/>
      <x:c r="O23"/>
      <x:c r="P23" s="16"/>
      <x:c r="Q23" s="16"/>
    </x:row>
    <x:row r="24">
      <x:c r="A24" t="str">
        <x:v>K4_C5</x:v>
      </x:c>
      <x:c r="B24" t="n">
        <x:v>1</x:v>
      </x:c>
      <x:c r="C24" t="str">
        <x:v>wishart_a1</x:v>
      </x:c>
      <x:c r="D24" t="n">
        <x:v>1</x:v>
      </x:c>
      <x:c r="E24" t="str">
        <x:v>baseline</x:v>
      </x:c>
      <x:c r="F24" s="16" t="n">
        <x:v>1.9386622905731201</x:v>
      </x:c>
      <x:c r="G24" s="16" t="n">
        <x:v>1</x:v>
      </x:c>
      <x:c r="H24" s="16" t="n">
        <x:v>1</x:v>
      </x:c>
      <x:c r="I24" s="16" t="n">
        <x:v>1</x:v>
      </x:c>
      <x:c r="J24" s="16" t="n">
        <x:v>1</x:v>
      </x:c>
      <x:c r="K24" t="n">
        <x:v>75</x:v>
      </x:c>
      <x:c r="L24" s="16" t="n">
        <x:v>2.101278305053711</x:v>
      </x:c>
      <x:c r="M24" s="16" t="n">
        <x:v>1</x:v>
      </x:c>
      <x:c r="N24" s="16" t="n">
        <x:v>0.06843060364348</x:v>
      </x:c>
      <x:c r="O24" t="str">
        <x:v>[0.2507754635895932,0.2523437536135559,0.23985066325580767,0.2570300918952963]</x:v>
      </x:c>
      <x:c r="P24" s="16" t="n">
        <x:v>0.23985066325580767</x:v>
      </x:c>
      <x:c r="Q24" s="16" t="n">
        <x:v>307.00885009765625</x:v>
      </x:c>
    </x:row>
    <x:row r="25">
      <x:c r="A25" t="str">
        <x:v>K4_C5</x:v>
      </x:c>
      <x:c r="B25" t="n">
        <x:v>1</x:v>
      </x:c>
      <x:c r="C25" t="str">
        <x:v>wishart_a81</x:v>
      </x:c>
      <x:c r="D25" t="n">
        <x:v>81</x:v>
      </x:c>
      <x:c r="E25" t="str">
        <x:v>phase_c_new</x:v>
      </x:c>
      <x:c r="F25" s="16" t="n">
        <x:v>2.000304698944092</x:v>
      </x:c>
      <x:c r="G25" s="16" t="n">
        <x:v>1</x:v>
      </x:c>
      <x:c r="H25" s="16" t="n">
        <x:v>1</x:v>
      </x:c>
      <x:c r="I25" s="16" t="n">
        <x:v>1</x:v>
      </x:c>
      <x:c r="J25" s="16" t="n">
        <x:v>1</x:v>
      </x:c>
      <x:c r="K25" t="n">
        <x:v>73</x:v>
      </x:c>
      <x:c r="L25" s="16" t="n">
        <x:v>2.15988826751709</x:v>
      </x:c>
      <x:c r="M25" s="16" t="n">
        <x:v>1</x:v>
      </x:c>
      <x:c r="N25" s="16" t="n">
        <x:v>0.16316648141883</x:v>
      </x:c>
      <x:c r="O25" t="str">
        <x:v>[0.25062439107621326,0.25187500494204784,0.2419024902805696,0.2555981039815982]</x:v>
      </x:c>
      <x:c r="P25" s="16" t="n">
        <x:v>0.2419024902805696</x:v>
      </x:c>
      <x:c r="Q25" s="16" t="n">
        <x:v>307.04400634765625</x:v>
      </x:c>
    </x:row>
    <x:row r="26">
      <x:c r="A26" t="str">
        <x:v>K4_C5</x:v>
      </x:c>
      <x:c r="B26" t="n">
        <x:v>2</x:v>
      </x:c>
      <x:c r="C26" t="str">
        <x:v>pure</x:v>
      </x:c>
      <x:c r="D26"/>
      <x:c r="E26" t="str">
        <x:v>baseline</x:v>
      </x:c>
      <x:c r="F26" s="16" t="n">
        <x:v>1.947782278060913</x:v>
      </x:c>
      <x:c r="G26" s="16" t="n">
        <x:v>0.7875</x:v>
      </x:c>
      <x:c r="H26" s="16" t="n">
        <x:v>0.6366046640471579</x:v>
      </x:c>
      <x:c r="I26" s="16"/>
      <x:c r="J26" s="16"/>
      <x:c r="K26"/>
      <x:c r="L26" s="16"/>
      <x:c r="M26" s="16"/>
      <x:c r="N26" s="16"/>
      <x:c r="O26"/>
      <x:c r="P26" s="16"/>
      <x:c r="Q26" s="16"/>
    </x:row>
    <x:row r="27">
      <x:c r="A27" t="str">
        <x:v>K4_C5</x:v>
      </x:c>
      <x:c r="B27" t="n">
        <x:v>2</x:v>
      </x:c>
      <x:c r="C27" t="str">
        <x:v>wishart_a1</x:v>
      </x:c>
      <x:c r="D27" t="n">
        <x:v>1</x:v>
      </x:c>
      <x:c r="E27" t="str">
        <x:v>baseline</x:v>
      </x:c>
      <x:c r="F27" s="16" t="n">
        <x:v>1.9278547763824463</x:v>
      </x:c>
      <x:c r="G27" s="16" t="n">
        <x:v>1</x:v>
      </x:c>
      <x:c r="H27" s="16" t="n">
        <x:v>1</x:v>
      </x:c>
      <x:c r="I27" s="16" t="n">
        <x:v>1</x:v>
      </x:c>
      <x:c r="J27" s="16" t="n">
        <x:v>1</x:v>
      </x:c>
      <x:c r="K27" t="n">
        <x:v>74</x:v>
      </x:c>
      <x:c r="L27" s="16" t="n">
        <x:v>2.0963268280029297</x:v>
      </x:c>
      <x:c r="M27" s="16" t="n">
        <x:v>1</x:v>
      </x:c>
      <x:c r="N27" s="16" t="n">
        <x:v>0.07586894131242</x:v>
      </x:c>
      <x:c r="O27" t="str">
        <x:v>[0.2523437536135559,0.2570297548513962,0.25078045606501814,0.23984603132733276]</x:v>
      </x:c>
      <x:c r="P27" s="16" t="n">
        <x:v>0.23984603132733276</x:v>
      </x:c>
      <x:c r="Q27" s="16" t="n">
        <x:v>307.0029296875</x:v>
      </x:c>
    </x:row>
    <x:row r="28">
      <x:c r="A28" t="str">
        <x:v>K4_C5</x:v>
      </x:c>
      <x:c r="B28" t="n">
        <x:v>2</x:v>
      </x:c>
      <x:c r="C28" t="str">
        <x:v>wishart_a81</x:v>
      </x:c>
      <x:c r="D28" t="n">
        <x:v>81</x:v>
      </x:c>
      <x:c r="E28" t="str">
        <x:v>phase_c_new</x:v>
      </x:c>
      <x:c r="F28" s="16" t="n">
        <x:v>1.9365421533584595</x:v>
      </x:c>
      <x:c r="G28" s="16" t="n">
        <x:v>1</x:v>
      </x:c>
      <x:c r="H28" s="16" t="n">
        <x:v>1</x:v>
      </x:c>
      <x:c r="I28" s="16" t="n">
        <x:v>1</x:v>
      </x:c>
      <x:c r="J28" s="16" t="n">
        <x:v>1</x:v>
      </x:c>
      <x:c r="K28" t="n">
        <x:v>75</x:v>
      </x:c>
      <x:c r="L28" s="16" t="n">
        <x:v>2.1085143089294434</x:v>
      </x:c>
      <x:c r="M28" s="16" t="n">
        <x:v>1</x:v>
      </x:c>
      <x:c r="N28" s="16" t="n">
        <x:v>0.0481575384092</x:v>
      </x:c>
      <x:c r="O28" t="str">
        <x:v>[0.25187500494204784,0.2556217495379318,0.2506239130485795,0.24187933525856764]</x:v>
      </x:c>
      <x:c r="P28" s="16" t="n">
        <x:v>0.24187933525856764</x:v>
      </x:c>
      <x:c r="Q28" s="16" t="n">
        <x:v>307.0069274902344</x:v>
      </x:c>
    </x:row>
    <x:row r="29">
      <x:c r="A29" t="str">
        <x:v>K5_C5</x:v>
      </x:c>
      <x:c r="B29" t="n">
        <x:v>0</x:v>
      </x:c>
      <x:c r="C29" t="str">
        <x:v>pure</x:v>
      </x:c>
      <x:c r="D29"/>
      <x:c r="E29" t="str">
        <x:v>baseline</x:v>
      </x:c>
      <x:c r="F29" s="16" t="n">
        <x:v>2.026313304901123</x:v>
      </x:c>
      <x:c r="G29" s="16" t="n">
        <x:v>0.79</x:v>
      </x:c>
      <x:c r="H29" s="16" t="n">
        <x:v>0.6935508299221399</x:v>
      </x:c>
      <x:c r="I29" s="16"/>
      <x:c r="J29" s="16"/>
      <x:c r="K29"/>
      <x:c r="L29" s="16"/>
      <x:c r="M29" s="16"/>
      <x:c r="N29" s="16"/>
      <x:c r="O29"/>
      <x:c r="P29" s="16"/>
      <x:c r="Q29" s="16"/>
    </x:row>
    <x:row r="30">
      <x:c r="A30" t="str">
        <x:v>K5_C5</x:v>
      </x:c>
      <x:c r="B30" t="n">
        <x:v>0</x:v>
      </x:c>
      <x:c r="C30" t="str">
        <x:v>wishart_a1</x:v>
      </x:c>
      <x:c r="D30" t="n">
        <x:v>1</x:v>
      </x:c>
      <x:c r="E30" t="str">
        <x:v>baseline</x:v>
      </x:c>
      <x:c r="F30" s="16" t="n">
        <x:v>1.9905917644500732</x:v>
      </x:c>
      <x:c r="G30" s="16" t="n">
        <x:v>1</x:v>
      </x:c>
      <x:c r="H30" s="16" t="n">
        <x:v>1</x:v>
      </x:c>
      <x:c r="I30" s="16" t="n">
        <x:v>1</x:v>
      </x:c>
      <x:c r="J30" s="16" t="n">
        <x:v>1</x:v>
      </x:c>
      <x:c r="K30" t="n">
        <x:v>75</x:v>
      </x:c>
      <x:c r="L30" s="16" t="n">
        <x:v>1.9710761308670044</x:v>
      </x:c>
      <x:c r="M30" s="16" t="n">
        <x:v>1</x:v>
      </x:c>
      <x:c r="N30" s="16" t="n">
        <x:v>0.2072772966173</x:v>
      </x:c>
      <x:c r="O30" t="str">
        <x:v>[0.2056369129621378,0.19686374774056226,0.19493382841362625,0.20187499758930966,0.20069057079006883]</x:v>
      </x:c>
      <x:c r="P30" s="16" t="n">
        <x:v>0.19493382841362625</x:v>
      </x:c>
      <x:c r="Q30" s="16" t="n">
        <x:v>311.89410400390625</x:v>
      </x:c>
    </x:row>
    <x:row r="31">
      <x:c r="A31" t="str">
        <x:v>K5_C5</x:v>
      </x:c>
      <x:c r="B31" t="n">
        <x:v>0</x:v>
      </x:c>
      <x:c r="C31" t="str">
        <x:v>wishart_a81</x:v>
      </x:c>
      <x:c r="D31" t="n">
        <x:v>81</x:v>
      </x:c>
      <x:c r="E31" t="str">
        <x:v>phase_c_new</x:v>
      </x:c>
      <x:c r="F31" s="16" t="n">
        <x:v>1.9866570234298706</x:v>
      </x:c>
      <x:c r="G31" s="16" t="n">
        <x:v>1</x:v>
      </x:c>
      <x:c r="H31" s="16" t="n">
        <x:v>1</x:v>
      </x:c>
      <x:c r="I31" s="16" t="n">
        <x:v>1</x:v>
      </x:c>
      <x:c r="J31" s="16" t="n">
        <x:v>1</x:v>
      </x:c>
      <x:c r="K31" t="n">
        <x:v>73</x:v>
      </x:c>
      <x:c r="L31" s="16" t="n">
        <x:v>1.9702156782150269</x:v>
      </x:c>
      <x:c r="M31" s="16" t="n">
        <x:v>1</x:v>
      </x:c>
      <x:c r="N31" s="16" t="n">
        <x:v>0.19377553857745</x:v>
      </x:c>
      <x:c r="O31" t="str">
        <x:v>[0.20452864923017905,0.1974713544292254,0.19644135533512921,0.20149999866195126,0.20005862970637167]</x:v>
      </x:c>
      <x:c r="P31" s="16" t="n">
        <x:v>0.19644135533512921</x:v>
      </x:c>
      <x:c r="Q31" s="16" t="n">
        <x:v>312.8827209472656</x:v>
      </x:c>
    </x:row>
    <x:row r="32">
      <x:c r="A32" t="str">
        <x:v>K5_C5</x:v>
      </x:c>
      <x:c r="B32" t="n">
        <x:v>1</x:v>
      </x:c>
      <x:c r="C32" t="str">
        <x:v>pure</x:v>
      </x:c>
      <x:c r="D32"/>
      <x:c r="E32" t="str">
        <x:v>baseline</x:v>
      </x:c>
      <x:c r="F32" s="16" t="n">
        <x:v>2.060662031173706</x:v>
      </x:c>
      <x:c r="G32" s="16" t="n">
        <x:v>0.795</x:v>
      </x:c>
      <x:c r="H32" s="16" t="n">
        <x:v>0.7407817628178202</x:v>
      </x:c>
      <x:c r="I32" s="16"/>
      <x:c r="J32" s="16"/>
      <x:c r="K32"/>
      <x:c r="L32" s="16"/>
      <x:c r="M32" s="16"/>
      <x:c r="N32" s="16"/>
      <x:c r="O32"/>
      <x:c r="P32" s="16"/>
      <x:c r="Q32" s="16"/>
    </x:row>
    <x:row r="33">
      <x:c r="A33" t="str">
        <x:v>K5_C5</x:v>
      </x:c>
      <x:c r="B33" t="n">
        <x:v>1</x:v>
      </x:c>
      <x:c r="C33" t="str">
        <x:v>wishart_a1</x:v>
      </x:c>
      <x:c r="D33" t="n">
        <x:v>1</x:v>
      </x:c>
      <x:c r="E33" t="str">
        <x:v>baseline</x:v>
      </x:c>
      <x:c r="F33" s="16" t="n">
        <x:v>2.352851390838623</x:v>
      </x:c>
      <x:c r="G33" s="16" t="n">
        <x:v>0.935</x:v>
      </x:c>
      <x:c r="H33" s="16" t="n">
        <x:v>0.8465243452745218</x:v>
      </x:c>
      <x:c r="I33" s="16" t="n">
        <x:v>0.94</x:v>
      </x:c>
      <x:c r="J33" s="16" t="n">
        <x:v>0.8558921370176843</x:v>
      </x:c>
      <x:c r="K33" t="n">
        <x:v>70</x:v>
      </x:c>
      <x:c r="L33" s="16" t="n">
        <x:v>2.345046281814575</x:v>
      </x:c>
      <x:c r="M33" s="16" t="n">
        <x:v>0.92</x:v>
      </x:c>
      <x:c r="N33" s="16" t="n">
        <x:v>0.52713090756456</x:v>
      </x:c>
      <x:c r="O33" t="str">
        <x:v>[0.14738185560721365,0.20193018703686655,0.18351972211423576,0.26483116927468314,0.20233700308232497]</x:v>
      </x:c>
      <x:c r="P33" s="16" t="n">
        <x:v>0.14738185560721365</x:v>
      </x:c>
      <x:c r="Q33" s="16" t="n">
        <x:v>235.81097412109375</x:v>
      </x:c>
    </x:row>
    <x:row r="34">
      <x:c r="A34" t="str">
        <x:v>K5_C5</x:v>
      </x:c>
      <x:c r="B34" t="n">
        <x:v>1</x:v>
      </x:c>
      <x:c r="C34" t="str">
        <x:v>wishart_a81</x:v>
      </x:c>
      <x:c r="D34" t="n">
        <x:v>81</x:v>
      </x:c>
      <x:c r="E34" t="str">
        <x:v>phase_c_new</x:v>
      </x:c>
      <x:c r="F34" s="16" t="n">
        <x:v>2.176785945892334</x:v>
      </x:c>
      <x:c r="G34" s="16" t="n">
        <x:v>0.98</x:v>
      </x:c>
      <x:c r="H34" s="16" t="n">
        <x:v>0.9507633145393122</x:v>
      </x:c>
      <x:c r="I34" s="16" t="n">
        <x:v>0.98</x:v>
      </x:c>
      <x:c r="J34" s="16" t="n">
        <x:v>0.9507633145393122</x:v>
      </x:c>
      <x:c r="K34" t="n">
        <x:v>75</x:v>
      </x:c>
      <x:c r="L34" s="16" t="n">
        <x:v>2.1591451168060303</x:v>
      </x:c>
      <x:c r="M34" s="16" t="n">
        <x:v>0.99</x:v>
      </x:c>
      <x:c r="N34" s="16" t="n">
        <x:v>0.36179990932619</x:v>
      </x:c>
      <x:c r="O34" t="str">
        <x:v>[0.18997599474511356,0.20159360493437345,0.1958727332817149,0.21265147736279533,0.19990619827875455]</x:v>
      </x:c>
      <x:c r="P34" s="16" t="n">
        <x:v>0.18997599474511356</x:v>
      </x:c>
      <x:c r="Q34" s="16" t="n">
        <x:v>299.9519958496094</x:v>
      </x:c>
    </x:row>
    <x:row r="35">
      <x:c r="A35" t="str">
        <x:v>K5_C5</x:v>
      </x:c>
      <x:c r="B35" t="n">
        <x:v>2</x:v>
      </x:c>
      <x:c r="C35" t="str">
        <x:v>pure</x:v>
      </x:c>
      <x:c r="D35"/>
      <x:c r="E35" t="str">
        <x:v>baseline</x:v>
      </x:c>
      <x:c r="F35" s="16" t="n">
        <x:v>2.040039539337158</x:v>
      </x:c>
      <x:c r="G35" s="16" t="n">
        <x:v>0.795</x:v>
      </x:c>
      <x:c r="H35" s="16" t="n">
        <x:v>0.7345196120071196</x:v>
      </x:c>
      <x:c r="I35" s="16"/>
      <x:c r="J35" s="16"/>
      <x:c r="K35"/>
      <x:c r="L35" s="16"/>
      <x:c r="M35" s="16"/>
      <x:c r="N35" s="16"/>
      <x:c r="O35"/>
      <x:c r="P35" s="16"/>
      <x:c r="Q35" s="16"/>
    </x:row>
    <x:row r="36">
      <x:c r="A36" t="str">
        <x:v>K5_C5</x:v>
      </x:c>
      <x:c r="B36" t="n">
        <x:v>2</x:v>
      </x:c>
      <x:c r="C36" t="str">
        <x:v>wishart_a1</x:v>
      </x:c>
      <x:c r="D36" t="n">
        <x:v>1</x:v>
      </x:c>
      <x:c r="E36" t="str">
        <x:v>baseline</x:v>
      </x:c>
      <x:c r="F36" s="16" t="n">
        <x:v>2.0918006896972656</x:v>
      </x:c>
      <x:c r="G36" s="16" t="n">
        <x:v>0.795</x:v>
      </x:c>
      <x:c r="H36" s="16" t="n">
        <x:v>0.7407817628178202</x:v>
      </x:c>
      <x:c r="I36" s="16" t="n">
        <x:v>0.795</x:v>
      </x:c>
      <x:c r="J36" s="16" t="n">
        <x:v>0.7407817628178202</x:v>
      </x:c>
      <x:c r="K36" t="n">
        <x:v>70</x:v>
      </x:c>
      <x:c r="L36" s="16" t="n">
        <x:v>2.0720267295837402</x:v>
      </x:c>
      <x:c r="M36" s="16" t="n">
        <x:v>0.85</x:v>
      </x:c>
      <x:c r="N36" s="16" t="n">
        <x:v>0.24357242213008</x:v>
      </x:c>
      <x:c r="O36" t="str">
        <x:v>[0.4024171260401513,0.11494295130785695,0.08034623957905952,0.2018749494585653,0.20041873712393632]</x:v>
      </x:c>
      <x:c r="P36" s="16" t="n">
        <x:v>0.08034623957905952</x:v>
      </x:c>
      <x:c r="Q36" s="16" t="n">
        <x:v>128.55398559570312</x:v>
      </x:c>
    </x:row>
    <x:row r="37">
      <x:c r="A37" t="str">
        <x:v>K5_C5</x:v>
      </x:c>
      <x:c r="B37" t="n">
        <x:v>2</x:v>
      </x:c>
      <x:c r="C37" t="str">
        <x:v>wishart_a81</x:v>
      </x:c>
      <x:c r="D37" t="n">
        <x:v>81</x:v>
      </x:c>
      <x:c r="E37" t="str">
        <x:v>phase_c_new</x:v>
      </x:c>
      <x:c r="F37" s="16" t="n">
        <x:v>2.2450037002563477</x:v>
      </x:c>
      <x:c r="G37" s="16" t="n">
        <x:v>0.9</x:v>
      </x:c>
      <x:c r="H37" s="16" t="n">
        <x:v>0.7758261480376465</x:v>
      </x:c>
      <x:c r="I37" s="16" t="n">
        <x:v>0.9</x:v>
      </x:c>
      <x:c r="J37" s="16" t="n">
        <x:v>0.776479481865141</x:v>
      </x:c>
      <x:c r="K37" t="n">
        <x:v>75</x:v>
      </x:c>
      <x:c r="L37" s="16" t="n">
        <x:v>2.241560697555542</x:v>
      </x:c>
      <x:c r="M37" s="16" t="n">
        <x:v>0.9</x:v>
      </x:c>
      <x:c r="N37" s="16" t="n">
        <x:v>0.30313926958192</x:v>
      </x:c>
      <x:c r="O37" t="str">
        <x:v>[0.20193037961259144,0.24715855517963287,0.22600853883265573,0.170880651059648,0.15402187169629256]</x:v>
      </x:c>
      <x:c r="P37" s="16" t="n">
        <x:v>0.15402187169629256</x:v>
      </x:c>
      <x:c r="Q37" s="16" t="n">
        <x:v>228.04376220703125</x:v>
      </x:c>
    </x:row>
    <x:row r="38">
      <x:c r="A38" t="str">
        <x:v>sin_K2_C5</x:v>
      </x:c>
      <x:c r="B38" t="n">
        <x:v>0</x:v>
      </x:c>
      <x:c r="C38" t="str">
        <x:v>pure</x:v>
      </x:c>
      <x:c r="D38"/>
      <x:c r="E38" t="str">
        <x:v>baseline</x:v>
      </x:c>
      <x:c r="F38" s="16" t="n">
        <x:v>3.4832422733306885</x:v>
      </x:c>
      <x:c r="G38" s="16" t="n">
        <x:v>1</x:v>
      </x:c>
      <x:c r="H38" s="16" t="n">
        <x:v>1</x:v>
      </x:c>
      <x:c r="I38" s="16"/>
      <x:c r="J38" s="16"/>
      <x:c r="K38"/>
      <x:c r="L38" s="16"/>
      <x:c r="M38" s="16"/>
      <x:c r="N38" s="16"/>
      <x:c r="O38"/>
      <x:c r="P38" s="16"/>
      <x:c r="Q38" s="16"/>
    </x:row>
    <x:row r="39">
      <x:c r="A39" t="str">
        <x:v>sin_K2_C5</x:v>
      </x:c>
      <x:c r="B39" t="n">
        <x:v>0</x:v>
      </x:c>
      <x:c r="C39" t="str">
        <x:v>wishart_a1</x:v>
      </x:c>
      <x:c r="D39" t="n">
        <x:v>1</x:v>
      </x:c>
      <x:c r="E39" t="str">
        <x:v>baseline</x:v>
      </x:c>
      <x:c r="F39" s="16" t="n">
        <x:v>3.4964632987976074</x:v>
      </x:c>
      <x:c r="G39" s="16" t="n">
        <x:v>1</x:v>
      </x:c>
      <x:c r="H39" s="16" t="n">
        <x:v>1</x:v>
      </x:c>
      <x:c r="I39" s="16" t="n">
        <x:v>1</x:v>
      </x:c>
      <x:c r="J39" s="16" t="n">
        <x:v>1</x:v>
      </x:c>
      <x:c r="K39" t="n">
        <x:v>74</x:v>
      </x:c>
      <x:c r="L39" s="16" t="n">
        <x:v>2.9228687286376953</x:v>
      </x:c>
      <x:c r="M39" s="16" t="n">
        <x:v>0.9875</x:v>
      </x:c>
      <x:c r="N39" s="16" t="n">
        <x:v>0.1057797565232</x:v>
      </x:c>
      <x:c r="O39" t="str">
        <x:v>[0.4964168915578449,0.5035831248462083]</x:v>
      </x:c>
      <x:c r="P39" s="16" t="n">
        <x:v>0.4964168915578449</x:v>
      </x:c>
      <x:c r="Q39" s="16" t="n">
        <x:v>317.7068176269531</x:v>
      </x:c>
    </x:row>
    <x:row r="40">
      <x:c r="A40" t="str">
        <x:v>sin_K2_C5</x:v>
      </x:c>
      <x:c r="B40" t="n">
        <x:v>0</x:v>
      </x:c>
      <x:c r="C40" t="str">
        <x:v>wishart_a81</x:v>
      </x:c>
      <x:c r="D40" t="n">
        <x:v>81</x:v>
      </x:c>
      <x:c r="E40" t="str">
        <x:v>phase_c_new</x:v>
      </x:c>
      <x:c r="F40" s="16" t="n">
        <x:v>3.486009120941162</x:v>
      </x:c>
      <x:c r="G40" s="16" t="n">
        <x:v>1</x:v>
      </x:c>
      <x:c r="H40" s="16" t="n">
        <x:v>1</x:v>
      </x:c>
      <x:c r="I40" s="16" t="n">
        <x:v>1</x:v>
      </x:c>
      <x:c r="J40" s="16" t="n">
        <x:v>1</x:v>
      </x:c>
      <x:c r="K40" t="n">
        <x:v>65</x:v>
      </x:c>
      <x:c r="L40" s="16" t="n">
        <x:v>2.921689987182617</x:v>
      </x:c>
      <x:c r="M40" s="16" t="n">
        <x:v>0.9875</x:v>
      </x:c>
      <x:c r="N40" s="16" t="n">
        <x:v>0.0415088002618</x:v>
      </x:c>
      <x:c r="O40" t="str">
        <x:v>[0.49871351116506546,0.501286459111895]</x:v>
      </x:c>
      <x:c r="P40" s="16" t="n">
        <x:v>0.49871351116506546</x:v>
      </x:c>
      <x:c r="Q40" s="16" t="n">
        <x:v>318.9708251953125</x:v>
      </x:c>
    </x:row>
    <x:row r="41">
      <x:c r="A41" t="str">
        <x:v>sin_K2_C5</x:v>
      </x:c>
      <x:c r="B41" t="n">
        <x:v>1</x:v>
      </x:c>
      <x:c r="C41" t="str">
        <x:v>pure</x:v>
      </x:c>
      <x:c r="D41"/>
      <x:c r="E41" t="str">
        <x:v>baseline</x:v>
      </x:c>
      <x:c r="F41" s="16" t="n">
        <x:v>3.483792781829834</x:v>
      </x:c>
      <x:c r="G41" s="16" t="n">
        <x:v>1</x:v>
      </x:c>
      <x:c r="H41" s="16" t="n">
        <x:v>1</x:v>
      </x:c>
      <x:c r="I41" s="16"/>
      <x:c r="J41" s="16"/>
      <x:c r="K41"/>
      <x:c r="L41" s="16"/>
      <x:c r="M41" s="16"/>
      <x:c r="N41" s="16"/>
      <x:c r="O41"/>
      <x:c r="P41" s="16"/>
      <x:c r="Q41" s="16"/>
    </x:row>
    <x:row r="42">
      <x:c r="A42" t="str">
        <x:v>sin_K2_C5</x:v>
      </x:c>
      <x:c r="B42" t="n">
        <x:v>1</x:v>
      </x:c>
      <x:c r="C42" t="str">
        <x:v>wishart_a1</x:v>
      </x:c>
      <x:c r="D42" t="n">
        <x:v>1</x:v>
      </x:c>
      <x:c r="E42" t="str">
        <x:v>baseline</x:v>
      </x:c>
      <x:c r="F42" s="16" t="n">
        <x:v>3.4880762100219727</x:v>
      </x:c>
      <x:c r="G42" s="16" t="n">
        <x:v>1</x:v>
      </x:c>
      <x:c r="H42" s="16" t="n">
        <x:v>1</x:v>
      </x:c>
      <x:c r="I42" s="16" t="n">
        <x:v>1</x:v>
      </x:c>
      <x:c r="J42" s="16" t="n">
        <x:v>1</x:v>
      </x:c>
      <x:c r="K42" t="n">
        <x:v>75</x:v>
      </x:c>
      <x:c r="L42" s="16" t="n">
        <x:v>2.918719530105591</x:v>
      </x:c>
      <x:c r="M42" s="16" t="n">
        <x:v>0.9875</x:v>
      </x:c>
      <x:c r="N42" s="16" t="n">
        <x:v>0.24499784065278</x:v>
      </x:c>
      <x:c r="O42" t="str">
        <x:v>[0.5060311488906426,0.49396888591994337]</x:v>
      </x:c>
      <x:c r="P42" s="16" t="n">
        <x:v>0.49396888591994337</x:v>
      </x:c>
      <x:c r="Q42" s="16" t="n">
        <x:v>316.14007568359375</x:v>
      </x:c>
    </x:row>
    <x:row r="43">
      <x:c r="A43" t="str">
        <x:v>sin_K2_C5</x:v>
      </x:c>
      <x:c r="B43" t="n">
        <x:v>1</x:v>
      </x:c>
      <x:c r="C43" t="str">
        <x:v>wishart_a81</x:v>
      </x:c>
      <x:c r="D43" t="n">
        <x:v>81</x:v>
      </x:c>
      <x:c r="E43" t="str">
        <x:v>phase_c_new</x:v>
      </x:c>
      <x:c r="F43" s="16" t="n">
        <x:v>3.4865341186523438</x:v>
      </x:c>
      <x:c r="G43" s="16" t="n">
        <x:v>1</x:v>
      </x:c>
      <x:c r="H43" s="16" t="n">
        <x:v>1</x:v>
      </x:c>
      <x:c r="I43" s="16" t="n">
        <x:v>1</x:v>
      </x:c>
      <x:c r="J43" s="16" t="n">
        <x:v>1</x:v>
      </x:c>
      <x:c r="K43" t="n">
        <x:v>74</x:v>
      </x:c>
      <x:c r="L43" s="16" t="n">
        <x:v>2.919663906097412</x:v>
      </x:c>
      <x:c r="M43" s="16" t="n">
        <x:v>0.9875</x:v>
      </x:c>
      <x:c r="N43" s="16" t="n">
        <x:v>0.16087202752287</x:v>
      </x:c>
      <x:c r="O43" t="str">
        <x:v>[0.503348995290395,0.49665099377204575]</x:v>
      </x:c>
      <x:c r="P43" s="16" t="n">
        <x:v>0.49665099377204575</x:v>
      </x:c>
      <x:c r="Q43" s="16" t="n">
        <x:v>317.32080078125</x:v>
      </x:c>
    </x:row>
    <x:row r="44">
      <x:c r="A44" t="str">
        <x:v>sin_K2_C5</x:v>
      </x:c>
      <x:c r="B44" t="n">
        <x:v>2</x:v>
      </x:c>
      <x:c r="C44" t="str">
        <x:v>pure</x:v>
      </x:c>
      <x:c r="D44"/>
      <x:c r="E44" t="str">
        <x:v>baseline</x:v>
      </x:c>
      <x:c r="F44" s="16" t="n">
        <x:v>3.474376916885376</x:v>
      </x:c>
      <x:c r="G44" s="16" t="n">
        <x:v>1</x:v>
      </x:c>
      <x:c r="H44" s="16" t="n">
        <x:v>1</x:v>
      </x:c>
      <x:c r="I44" s="16"/>
      <x:c r="J44" s="16"/>
      <x:c r="K44"/>
      <x:c r="L44" s="16"/>
      <x:c r="M44" s="16"/>
      <x:c r="N44" s="16"/>
      <x:c r="O44"/>
      <x:c r="P44" s="16"/>
      <x:c r="Q44" s="16"/>
    </x:row>
    <x:row r="45">
      <x:c r="A45" t="str">
        <x:v>sin_K2_C5</x:v>
      </x:c>
      <x:c r="B45" t="n">
        <x:v>2</x:v>
      </x:c>
      <x:c r="C45" t="str">
        <x:v>wishart_a1</x:v>
      </x:c>
      <x:c r="D45" t="n">
        <x:v>1</x:v>
      </x:c>
      <x:c r="E45" t="str">
        <x:v>baseline</x:v>
      </x:c>
      <x:c r="F45" s="16" t="n">
        <x:v>3.491180181503296</x:v>
      </x:c>
      <x:c r="G45" s="16" t="n">
        <x:v>1</x:v>
      </x:c>
      <x:c r="H45" s="16" t="n">
        <x:v>1</x:v>
      </x:c>
      <x:c r="I45" s="16" t="n">
        <x:v>1</x:v>
      </x:c>
      <x:c r="J45" s="16" t="n">
        <x:v>1</x:v>
      </x:c>
      <x:c r="K45" t="n">
        <x:v>68</x:v>
      </x:c>
      <x:c r="L45" s="16" t="n">
        <x:v>2.9238016605377197</x:v>
      </x:c>
      <x:c r="M45" s="16" t="n">
        <x:v>0.9875</x:v>
      </x:c>
      <x:c r="N45" s="16" t="n">
        <x:v>0.00000227684629</x:v>
      </x:c>
      <x:c r="O45" t="str">
        <x:v>[0.4962701530374214,0.5037298939321507]</x:v>
      </x:c>
      <x:c r="P45" s="16" t="n">
        <x:v>0.4962701530374214</x:v>
      </x:c>
      <x:c r="Q45" s="16" t="n">
        <x:v>317.6128845214844</x:v>
      </x:c>
    </x:row>
    <x:row r="46">
      <x:c r="A46" t="str">
        <x:v>sin_K2_C5</x:v>
      </x:c>
      <x:c r="B46" t="n">
        <x:v>2</x:v>
      </x:c>
      <x:c r="C46" t="str">
        <x:v>wishart_a81</x:v>
      </x:c>
      <x:c r="D46" t="n">
        <x:v>81</x:v>
      </x:c>
      <x:c r="E46" t="str">
        <x:v>phase_c_new</x:v>
      </x:c>
      <x:c r="F46" s="16" t="n">
        <x:v>3.491056442260742</x:v>
      </x:c>
      <x:c r="G46" s="16" t="n">
        <x:v>1</x:v>
      </x:c>
      <x:c r="H46" s="16" t="n">
        <x:v>1</x:v>
      </x:c>
      <x:c r="I46" s="16" t="n">
        <x:v>1</x:v>
      </x:c>
      <x:c r="J46" s="16" t="n">
        <x:v>1</x:v>
      </x:c>
      <x:c r="K46" t="n">
        <x:v>70</x:v>
      </x:c>
      <x:c r="L46" s="16" t="n">
        <x:v>2.9290072917938232</x:v>
      </x:c>
      <x:c r="M46" s="16" t="n">
        <x:v>0.9875</x:v>
      </x:c>
      <x:c r="N46" s="16" t="n">
        <x:v>0.02777750986456</x:v>
      </x:c>
      <x:c r="O46" t="str">
        <x:v>[0.49733448689094717,0.5026655055788837]</x:v>
      </x:c>
      <x:c r="P46" s="16" t="n">
        <x:v>0.49733448689094717</x:v>
      </x:c>
      <x:c r="Q46" s="16" t="n">
        <x:v>317.8675842285156</x:v>
      </x:c>
    </x:row>
    <x:row r="47">
      <x:c r="A47" t="str">
        <x:v>sin_K3_C5</x:v>
      </x:c>
      <x:c r="B47" t="n">
        <x:v>0</x:v>
      </x:c>
      <x:c r="C47" t="str">
        <x:v>pure</x:v>
      </x:c>
      <x:c r="D47"/>
      <x:c r="E47" t="str">
        <x:v>baseline</x:v>
      </x:c>
      <x:c r="F47" s="16" t="n">
        <x:v>0.6622375249862671</x:v>
      </x:c>
      <x:c r="G47" s="16" t="n">
        <x:v>0.9916666666666667</x:v>
      </x:c>
      <x:c r="H47" s="16" t="n">
        <x:v>0.9758861326332029</x:v>
      </x:c>
      <x:c r="I47" s="16"/>
      <x:c r="J47" s="16"/>
      <x:c r="K47"/>
      <x:c r="L47" s="16"/>
      <x:c r="M47" s="16"/>
      <x:c r="N47" s="16"/>
      <x:c r="O47"/>
      <x:c r="P47" s="16"/>
      <x:c r="Q47" s="16"/>
    </x:row>
    <x:row r="48">
      <x:c r="A48" t="str">
        <x:v>sin_K3_C5</x:v>
      </x:c>
      <x:c r="B48" t="n">
        <x:v>0</x:v>
      </x:c>
      <x:c r="C48" t="str">
        <x:v>wishart_a1</x:v>
      </x:c>
      <x:c r="D48" t="n">
        <x:v>1</x:v>
      </x:c>
      <x:c r="E48" t="str">
        <x:v>baseline</x:v>
      </x:c>
      <x:c r="F48" s="16" t="n">
        <x:v>0.6964934468269348</x:v>
      </x:c>
      <x:c r="G48" s="16" t="n">
        <x:v>0.9916666666666667</x:v>
      </x:c>
      <x:c r="H48" s="16" t="n">
        <x:v>0.9758861326332029</x:v>
      </x:c>
      <x:c r="I48" s="16" t="n">
        <x:v>0.9916666666666667</x:v>
      </x:c>
      <x:c r="J48" s="16" t="n">
        <x:v>0.9758861326332029</x:v>
      </x:c>
      <x:c r="K48" t="n">
        <x:v>50</x:v>
      </x:c>
      <x:c r="L48" s="16" t="n">
        <x:v>1.2576180696487427</x:v>
      </x:c>
      <x:c r="M48" s="16" t="n">
        <x:v>1</x:v>
      </x:c>
      <x:c r="N48" s="16" t="n">
        <x:v>0.384155778682</x:v>
      </x:c>
      <x:c r="O48" t="str">
        <x:v>[0.32788838257882014,0.32507416260744687,0.3470375021006464]</x:v>
      </x:c>
      <x:c r="P48" s="16" t="n">
        <x:v>0.32507416260744687</x:v>
      </x:c>
      <x:c r="Q48" s="16" t="n">
        <x:v>312.0711669921875</x:v>
      </x:c>
    </x:row>
    <x:row r="49">
      <x:c r="A49" t="str">
        <x:v>sin_K3_C5</x:v>
      </x:c>
      <x:c r="B49" t="n">
        <x:v>0</x:v>
      </x:c>
      <x:c r="C49" t="str">
        <x:v>wishart_a81</x:v>
      </x:c>
      <x:c r="D49" t="n">
        <x:v>81</x:v>
      </x:c>
      <x:c r="E49" t="str">
        <x:v>phase_c_new</x:v>
      </x:c>
      <x:c r="F49" s="16" t="n">
        <x:v>0.7030209302902222</x:v>
      </x:c>
      <x:c r="G49" s="16" t="n">
        <x:v>0.9916666666666667</x:v>
      </x:c>
      <x:c r="H49" s="16" t="n">
        <x:v>0.9758861326332029</x:v>
      </x:c>
      <x:c r="I49" s="16" t="n">
        <x:v>0.9916666666666667</x:v>
      </x:c>
      <x:c r="J49" s="16" t="n">
        <x:v>0.9758861326332029</x:v>
      </x:c>
      <x:c r="K49" t="n">
        <x:v>53</x:v>
      </x:c>
      <x:c r="L49" s="16" t="n">
        <x:v>1.264279842376709</x:v>
      </x:c>
      <x:c r="M49" s="16" t="n">
        <x:v>1</x:v>
      </x:c>
      <x:c r="N49" s="16" t="n">
        <x:v>0.49530071362828</x:v>
      </x:c>
      <x:c r="O49" t="str">
        <x:v>[0.3297776188951801,0.327051887865751,0.34317050216798395]</x:v>
      </x:c>
      <x:c r="P49" s="16" t="n">
        <x:v>0.327051887865751</x:v>
      </x:c>
      <x:c r="Q49" s="16" t="n">
        <x:v>312.4622497558594</x:v>
      </x:c>
    </x:row>
    <x:row r="50">
      <x:c r="A50" t="str">
        <x:v>sin_K3_C5</x:v>
      </x:c>
      <x:c r="B50" t="n">
        <x:v>1</x:v>
      </x:c>
      <x:c r="C50" t="str">
        <x:v>pure</x:v>
      </x:c>
      <x:c r="D50"/>
      <x:c r="E50" t="str">
        <x:v>baseline</x:v>
      </x:c>
      <x:c r="F50" s="16" t="n">
        <x:v>0.6734050512313843</x:v>
      </x:c>
      <x:c r="G50" s="16" t="n">
        <x:v>0.9916666666666667</x:v>
      </x:c>
      <x:c r="H50" s="16" t="n">
        <x:v>0.9758861326332029</x:v>
      </x:c>
      <x:c r="I50" s="16"/>
      <x:c r="J50" s="16"/>
      <x:c r="K50"/>
      <x:c r="L50" s="16"/>
      <x:c r="M50" s="16"/>
      <x:c r="N50" s="16"/>
      <x:c r="O50"/>
      <x:c r="P50" s="16"/>
      <x:c r="Q50" s="16"/>
    </x:row>
    <x:row r="51">
      <x:c r="A51" t="str">
        <x:v>sin_K3_C5</x:v>
      </x:c>
      <x:c r="B51" t="n">
        <x:v>1</x:v>
      </x:c>
      <x:c r="C51" t="str">
        <x:v>wishart_a1</x:v>
      </x:c>
      <x:c r="D51" t="n">
        <x:v>1</x:v>
      </x:c>
      <x:c r="E51" t="str">
        <x:v>baseline</x:v>
      </x:c>
      <x:c r="F51" s="16" t="n">
        <x:v>0.6820207834243774</x:v>
      </x:c>
      <x:c r="G51" s="16" t="n">
        <x:v>0.9916666666666667</x:v>
      </x:c>
      <x:c r="H51" s="16" t="n">
        <x:v>0.9758861326332029</x:v>
      </x:c>
      <x:c r="I51" s="16" t="n">
        <x:v>0.9916666666666667</x:v>
      </x:c>
      <x:c r="J51" s="16" t="n">
        <x:v>0.9758861326332029</x:v>
      </x:c>
      <x:c r="K51" t="n">
        <x:v>66</x:v>
      </x:c>
      <x:c r="L51" s="16" t="n">
        <x:v>1.2481061220169067</x:v>
      </x:c>
      <x:c r="M51" s="16" t="n">
        <x:v>1</x:v>
      </x:c>
      <x:c r="N51" s="16" t="n">
        <x:v>0.28119933174557</x:v>
      </x:c>
      <x:c r="O51" t="str">
        <x:v>[0.32599240356436293,0.335164105722359,0.33884356453566605]</x:v>
      </x:c>
      <x:c r="P51" s="16" t="n">
        <x:v>0.32599240356436293</x:v>
      </x:c>
      <x:c r="Q51" s="16" t="n">
        <x:v>312.95269775390625</x:v>
      </x:c>
    </x:row>
    <x:row r="52">
      <x:c r="A52" t="str">
        <x:v>sin_K3_C5</x:v>
      </x:c>
      <x:c r="B52" t="n">
        <x:v>1</x:v>
      </x:c>
      <x:c r="C52" t="str">
        <x:v>wishart_a81</x:v>
      </x:c>
      <x:c r="D52" t="n">
        <x:v>81</x:v>
      </x:c>
      <x:c r="E52" t="str">
        <x:v>phase_c_new</x:v>
      </x:c>
      <x:c r="F52" s="16" t="n">
        <x:v>0.7075852751731873</x:v>
      </x:c>
      <x:c r="G52" s="16" t="n">
        <x:v>0.9916666666666667</x:v>
      </x:c>
      <x:c r="H52" s="16" t="n">
        <x:v>0.9758861326332029</x:v>
      </x:c>
      <x:c r="I52" s="16" t="n">
        <x:v>0.9916666666666667</x:v>
      </x:c>
      <x:c r="J52" s="16" t="n">
        <x:v>0.9758861326332029</x:v>
      </x:c>
      <x:c r="K52" t="n">
        <x:v>62</x:v>
      </x:c>
      <x:c r="L52" s="16" t="n">
        <x:v>1.2644078731536865</x:v>
      </x:c>
      <x:c r="M52" s="16" t="n">
        <x:v>1</x:v>
      </x:c>
      <x:c r="N52" s="16" t="n">
        <x:v>0.53180748891549</x:v>
      </x:c>
      <x:c r="O52" t="str">
        <x:v>[0.3276599575861693,0.35565812122975204,0.3166819244167087]</x:v>
      </x:c>
      <x:c r="P52" s="16" t="n">
        <x:v>0.3166819244167087</x:v>
      </x:c>
      <x:c r="Q52" s="16" t="n">
        <x:v>300.018310546875</x:v>
      </x:c>
    </x:row>
    <x:row r="53">
      <x:c r="A53" t="str">
        <x:v>sin_K3_C5</x:v>
      </x:c>
      <x:c r="B53" t="n">
        <x:v>2</x:v>
      </x:c>
      <x:c r="C53" t="str">
        <x:v>pure</x:v>
      </x:c>
      <x:c r="D53"/>
      <x:c r="E53" t="str">
        <x:v>baseline</x:v>
      </x:c>
      <x:c r="F53" s="16" t="n">
        <x:v>0.6607457399368286</x:v>
      </x:c>
      <x:c r="G53" s="16" t="n">
        <x:v>0.9916666666666667</x:v>
      </x:c>
      <x:c r="H53" s="16" t="n">
        <x:v>0.9758861326332029</x:v>
      </x:c>
      <x:c r="I53" s="16"/>
      <x:c r="J53" s="16"/>
      <x:c r="K53"/>
      <x:c r="L53" s="16"/>
      <x:c r="M53" s="16"/>
      <x:c r="N53" s="16"/>
      <x:c r="O53"/>
      <x:c r="P53" s="16"/>
      <x:c r="Q53" s="16"/>
    </x:row>
    <x:row r="54">
      <x:c r="A54" t="str">
        <x:v>sin_K3_C5</x:v>
      </x:c>
      <x:c r="B54" t="n">
        <x:v>2</x:v>
      </x:c>
      <x:c r="C54" t="str">
        <x:v>wishart_a1</x:v>
      </x:c>
      <x:c r="D54" t="n">
        <x:v>1</x:v>
      </x:c>
      <x:c r="E54" t="str">
        <x:v>baseline</x:v>
      </x:c>
      <x:c r="F54" s="16" t="n">
        <x:v>0.7565550804138184</x:v>
      </x:c>
      <x:c r="G54" s="16" t="n">
        <x:v>0.775</x:v>
      </x:c>
      <x:c r="H54" s="16" t="n">
        <x:v>0.5998843363123457</x:v>
      </x:c>
      <x:c r="I54" s="16" t="n">
        <x:v>0.7916666666666666</x:v>
      </x:c>
      <x:c r="J54" s="16" t="n">
        <x:v>0.610837484274388</x:v>
      </x:c>
      <x:c r="K54" t="n">
        <x:v>61</x:v>
      </x:c>
      <x:c r="L54" s="16" t="n">
        <x:v>1.306973934173584</x:v>
      </x:c>
      <x:c r="M54" s="16" t="n">
        <x:v>0.775</x:v>
      </x:c>
      <x:c r="N54" s="16" t="n">
        <x:v>0.68924336161645</x:v>
      </x:c>
      <x:c r="O54" t="str">
        <x:v>[0.028724462963798353,0.32587758857915533,0.6453979502871894]</x:v>
      </x:c>
      <x:c r="P54" s="16" t="n">
        <x:v>0.028724462963798353</x:v>
      </x:c>
      <x:c r="Q54" s="16" t="n">
        <x:v>27.57547950744629</x:v>
      </x:c>
    </x:row>
    <x:row r="55">
      <x:c r="A55" t="str">
        <x:v>sin_K3_C5</x:v>
      </x:c>
      <x:c r="B55" t="n">
        <x:v>2</x:v>
      </x:c>
      <x:c r="C55" t="str">
        <x:v>wishart_a81</x:v>
      </x:c>
      <x:c r="D55" t="n">
        <x:v>81</x:v>
      </x:c>
      <x:c r="E55" t="str">
        <x:v>phase_c_new</x:v>
      </x:c>
      <x:c r="F55" s="16" t="n">
        <x:v>0.7596193552017212</x:v>
      </x:c>
      <x:c r="G55" s="16" t="n">
        <x:v>0.8166666666666667</x:v>
      </x:c>
      <x:c r="H55" s="16" t="n">
        <x:v>0.6328171080350041</x:v>
      </x:c>
      <x:c r="I55" s="16" t="n">
        <x:v>0.8166666666666667</x:v>
      </x:c>
      <x:c r="J55" s="16" t="n">
        <x:v>0.622153179880683</x:v>
      </x:c>
      <x:c r="K55" t="n">
        <x:v>61</x:v>
      </x:c>
      <x:c r="L55" s="16" t="n">
        <x:v>1.3136506080627441</x:v>
      </x:c>
      <x:c r="M55" s="16" t="n">
        <x:v>0.8333333333333334</x:v>
      </x:c>
      <x:c r="N55" s="16" t="n">
        <x:v>0.67895050288741</x:v>
      </x:c>
      <x:c r="O55" t="str">
        <x:v>[0.09982983934908095,0.325966173226797,0.5742040433179786]</x:v>
      </x:c>
      <x:c r="P55" s="16" t="n">
        <x:v>0.09982983934908095</x:v>
      </x:c>
      <x:c r="Q55" s="16" t="n">
        <x:v>39.795814514160156</x:v>
      </x:c>
    </x:row>
    <x:row r="56">
      <x:c r="A56" t="str">
        <x:v>sin_K4_C5</x:v>
      </x:c>
      <x:c r="B56" t="n">
        <x:v>0</x:v>
      </x:c>
      <x:c r="C56" t="str">
        <x:v>pure</x:v>
      </x:c>
      <x:c r="D56"/>
      <x:c r="E56" t="str">
        <x:v>baseline</x:v>
      </x:c>
      <x:c r="F56" s="16" t="n">
        <x:v>0.8345573544502258</x:v>
      </x:c>
      <x:c r="G56" s="16" t="n">
        <x:v>0.9625</x:v>
      </x:c>
      <x:c r="H56" s="16" t="n">
        <x:v>0.8998606601360304</x:v>
      </x:c>
      <x:c r="I56" s="16"/>
      <x:c r="J56" s="16"/>
      <x:c r="K56"/>
      <x:c r="L56" s="16"/>
      <x:c r="M56" s="16"/>
      <x:c r="N56" s="16"/>
      <x:c r="O56"/>
      <x:c r="P56" s="16"/>
      <x:c r="Q56" s="16"/>
    </x:row>
    <x:row r="57">
      <x:c r="A57" t="str">
        <x:v>sin_K4_C5</x:v>
      </x:c>
      <x:c r="B57" t="n">
        <x:v>0</x:v>
      </x:c>
      <x:c r="C57" t="str">
        <x:v>wishart_a1</x:v>
      </x:c>
      <x:c r="D57" t="n">
        <x:v>1</x:v>
      </x:c>
      <x:c r="E57" t="str">
        <x:v>baseline</x:v>
      </x:c>
      <x:c r="F57" s="16" t="n">
        <x:v>0.8462865948677063</x:v>
      </x:c>
      <x:c r="G57" s="16" t="n">
        <x:v>0.76875</x:v>
      </x:c>
      <x:c r="H57" s="16" t="n">
        <x:v>0.6576350427301614</x:v>
      </x:c>
      <x:c r="I57" s="16" t="n">
        <x:v>0.775</x:v>
      </x:c>
      <x:c r="J57" s="16" t="n">
        <x:v>0.6641611772180065</x:v>
      </x:c>
      <x:c r="K57" t="n">
        <x:v>57</x:v>
      </x:c>
      <x:c r="L57" s="16" t="n">
        <x:v>1.3714244365692139</x:v>
      </x:c>
      <x:c r="M57" s="16" t="n">
        <x:v>0.8125</x:v>
      </x:c>
      <x:c r="N57" s="16" t="n">
        <x:v>0.45255517085215</x:v>
      </x:c>
      <x:c r="O57" t="str">
        <x:v>[0.030037673373441147,0.24018975157713512,0.4737865525925151,0.25598603319140684]</x:v>
      </x:c>
      <x:c r="P57" s="16" t="n">
        <x:v>0.030037673373441147</x:v>
      </x:c>
      <x:c r="Q57" s="16" t="n">
        <x:v>38.44822311401367</x:v>
      </x:c>
    </x:row>
    <x:row r="58">
      <x:c r="A58" t="str">
        <x:v>sin_K4_C5</x:v>
      </x:c>
      <x:c r="B58" t="n">
        <x:v>0</x:v>
      </x:c>
      <x:c r="C58" t="str">
        <x:v>wishart_a81</x:v>
      </x:c>
      <x:c r="D58" t="n">
        <x:v>81</x:v>
      </x:c>
      <x:c r="E58" t="str">
        <x:v>reused_phase_a_b</x:v>
      </x:c>
      <x:c r="F58" s="16" t="n">
        <x:v>0.8495883345603943</x:v>
      </x:c>
      <x:c r="G58" s="16" t="n">
        <x:v>0.80625</x:v>
      </x:c>
      <x:c r="H58" s="16" t="n">
        <x:v>0.6580632565439801</x:v>
      </x:c>
      <x:c r="I58" s="16" t="n">
        <x:v>0.8125</x:v>
      </x:c>
      <x:c r="J58" s="16" t="n">
        <x:v>0.6589748980181392</x:v>
      </x:c>
      <x:c r="K58" t="n">
        <x:v>72</x:v>
      </x:c>
      <x:c r="L58" s="16" t="n">
        <x:v>1.3762784004211426</x:v>
      </x:c>
      <x:c r="M58" s="16" t="n">
        <x:v>0.81875</x:v>
      </x:c>
      <x:c r="N58" s="16" t="n">
        <x:v>0.56325664682032</x:v>
      </x:c>
      <x:c r="O58" t="str">
        <x:v>[0.15250143704586766,0.2420054603655785,0.35062746498109576,0.25486568949730953]</x:v>
      </x:c>
      <x:c r="P58" s="16" t="n">
        <x:v>0.15250143704586766</x:v>
      </x:c>
      <x:c r="Q58" s="16" t="n">
        <x:v>164.00228881835938</x:v>
      </x:c>
    </x:row>
    <x:row r="59">
      <x:c r="A59" t="str">
        <x:v>sin_K4_C5</x:v>
      </x:c>
      <x:c r="B59" t="n">
        <x:v>1</x:v>
      </x:c>
      <x:c r="C59" t="str">
        <x:v>pure</x:v>
      </x:c>
      <x:c r="D59"/>
      <x:c r="E59" t="str">
        <x:v>baseline</x:v>
      </x:c>
      <x:c r="F59" s="16" t="n">
        <x:v>0.8323823809623718</x:v>
      </x:c>
      <x:c r="G59" s="16" t="n">
        <x:v>0.9625</x:v>
      </x:c>
      <x:c r="H59" s="16" t="n">
        <x:v>0.9003247097492446</x:v>
      </x:c>
      <x:c r="I59" s="16"/>
      <x:c r="J59" s="16"/>
      <x:c r="K59"/>
      <x:c r="L59" s="16"/>
      <x:c r="M59" s="16"/>
      <x:c r="N59" s="16"/>
      <x:c r="O59"/>
      <x:c r="P59" s="16"/>
      <x:c r="Q59" s="16"/>
    </x:row>
    <x:row r="60">
      <x:c r="A60" t="str">
        <x:v>sin_K4_C5</x:v>
      </x:c>
      <x:c r="B60" t="n">
        <x:v>1</x:v>
      </x:c>
      <x:c r="C60" t="str">
        <x:v>wishart_a1</x:v>
      </x:c>
      <x:c r="D60" t="n">
        <x:v>1</x:v>
      </x:c>
      <x:c r="E60" t="str">
        <x:v>baseline</x:v>
      </x:c>
      <x:c r="F60" s="16" t="n">
        <x:v>0.8500586152076721</x:v>
      </x:c>
      <x:c r="G60" s="16" t="n">
        <x:v>0.83125</x:v>
      </x:c>
      <x:c r="H60" s="16" t="n">
        <x:v>0.6435660657698041</x:v>
      </x:c>
      <x:c r="I60" s="16" t="n">
        <x:v>0.825</x:v>
      </x:c>
      <x:c r="J60" s="16" t="n">
        <x:v>0.6373430523645142</x:v>
      </x:c>
      <x:c r="K60" t="n">
        <x:v>60</x:v>
      </x:c>
      <x:c r="L60" s="16" t="n">
        <x:v>1.366814374923706</x:v>
      </x:c>
      <x:c r="M60" s="16" t="n">
        <x:v>0.8625</x:v>
      </x:c>
      <x:c r="N60" s="16" t="n">
        <x:v>0.15357554865231</x:v>
      </x:c>
      <x:c r="O60" t="str">
        <x:v>[0.21601680825243572,0.45299773648464603,0.09110477702024684,0.23988065858733096]</x:v>
      </x:c>
      <x:c r="P60" s="16" t="n">
        <x:v>0.09110477702024684</x:v>
      </x:c>
      <x:c r="Q60" s="16" t="n">
        <x:v>116.61412048339844</x:v>
      </x:c>
    </x:row>
    <x:row r="61">
      <x:c r="A61" t="str">
        <x:v>sin_K4_C5</x:v>
      </x:c>
      <x:c r="B61" t="n">
        <x:v>1</x:v>
      </x:c>
      <x:c r="C61" t="str">
        <x:v>wishart_a81</x:v>
      </x:c>
      <x:c r="D61" t="n">
        <x:v>81</x:v>
      </x:c>
      <x:c r="E61" t="str">
        <x:v>reused_phase_a_b</x:v>
      </x:c>
      <x:c r="F61" s="16" t="n">
        <x:v>0.837410569190979</x:v>
      </x:c>
      <x:c r="G61" s="16" t="n">
        <x:v>0.94375</x:v>
      </x:c>
      <x:c r="H61" s="16" t="n">
        <x:v>0.8473508612366842</x:v>
      </x:c>
      <x:c r="I61" s="16" t="n">
        <x:v>0.94375</x:v>
      </x:c>
      <x:c r="J61" s="16" t="n">
        <x:v>0.8473508612366842</x:v>
      </x:c>
      <x:c r="K61" t="n">
        <x:v>62</x:v>
      </x:c>
      <x:c r="L61" s="16" t="n">
        <x:v>1.3628768920898438</x:v>
      </x:c>
      <x:c r="M61" s="16" t="n">
        <x:v>0.9625</x:v>
      </x:c>
      <x:c r="N61" s="16" t="n">
        <x:v>0.11649678447899</x:v>
      </x:c>
      <x:c r="O61" t="str">
        <x:v>[0.238477625631758,0.2681543883156602,0.2514759177174328,0.24189205150311696]</x:v>
      </x:c>
      <x:c r="P61" s="16" t="n">
        <x:v>0.238477625631758</x:v>
      </x:c>
      <x:c r="Q61" s="16" t="n">
        <x:v>301.564208984375</x:v>
      </x:c>
    </x:row>
    <x:row r="62">
      <x:c r="A62" t="str">
        <x:v>sin_K4_C5</x:v>
      </x:c>
      <x:c r="B62" t="n">
        <x:v>2</x:v>
      </x:c>
      <x:c r="C62" t="str">
        <x:v>pure</x:v>
      </x:c>
      <x:c r="D62"/>
      <x:c r="E62" t="str">
        <x:v>baseline</x:v>
      </x:c>
      <x:c r="F62" s="16" t="n">
        <x:v>0.8337138891220093</x:v>
      </x:c>
      <x:c r="G62" s="16" t="n">
        <x:v>0.8875</x:v>
      </x:c>
      <x:c r="H62" s="16" t="n">
        <x:v>0.7484255290137292</x:v>
      </x:c>
      <x:c r="I62" s="16"/>
      <x:c r="J62" s="16"/>
      <x:c r="K62"/>
      <x:c r="L62" s="16"/>
      <x:c r="M62" s="16"/>
      <x:c r="N62" s="16"/>
      <x:c r="O62"/>
      <x:c r="P62" s="16"/>
      <x:c r="Q62" s="16"/>
    </x:row>
    <x:row r="63">
      <x:c r="A63" t="str">
        <x:v>sin_K4_C5</x:v>
      </x:c>
      <x:c r="B63" t="n">
        <x:v>2</x:v>
      </x:c>
      <x:c r="C63" t="str">
        <x:v>wishart_a1</x:v>
      </x:c>
      <x:c r="D63" t="n">
        <x:v>1</x:v>
      </x:c>
      <x:c r="E63" t="str">
        <x:v>baseline</x:v>
      </x:c>
      <x:c r="F63" s="16" t="n">
        <x:v>0.8782943487167358</x:v>
      </x:c>
      <x:c r="G63" s="16" t="n">
        <x:v>0.79375</x:v>
      </x:c>
      <x:c r="H63" s="16" t="n">
        <x:v>0.6360758130357411</x:v>
      </x:c>
      <x:c r="I63" s="16" t="n">
        <x:v>0.79375</x:v>
      </x:c>
      <x:c r="J63" s="16" t="n">
        <x:v>0.6360758130357411</x:v>
      </x:c>
      <x:c r="K63" t="n">
        <x:v>26</x:v>
      </x:c>
      <x:c r="L63" s="16" t="n">
        <x:v>1.3920831680297852</x:v>
      </x:c>
      <x:c r="M63" s="16" t="n">
        <x:v>0.8</x:v>
      </x:c>
      <x:c r="N63" s="16" t="n">
        <x:v>0.25019590966514</x:v>
      </x:c>
      <x:c r="O63" t="str">
        <x:v>[0.3243723500605142,0.40090521391740613,0.24004139335459104,0.034681003006949894]</x:v>
      </x:c>
      <x:c r="P63" s="16" t="n">
        <x:v>0.034681003006949894</x:v>
      </x:c>
      <x:c r="Q63" s="16" t="n">
        <x:v>44.39167785644531</x:v>
      </x:c>
    </x:row>
    <x:row r="64">
      <x:c r="A64" t="str">
        <x:v>sin_K4_C5</x:v>
      </x:c>
      <x:c r="B64" t="n">
        <x:v>2</x:v>
      </x:c>
      <x:c r="C64" t="str">
        <x:v>wishart_a81</x:v>
      </x:c>
      <x:c r="D64" t="n">
        <x:v>81</x:v>
      </x:c>
      <x:c r="E64" t="str">
        <x:v>reused_phase_a_b</x:v>
      </x:c>
      <x:c r="F64" s="16" t="n">
        <x:v>0.8520147800445557</x:v>
      </x:c>
      <x:c r="G64" s="16" t="n">
        <x:v>0.9125</x:v>
      </x:c>
      <x:c r="H64" s="16" t="n">
        <x:v>0.790086519215485</x:v>
      </x:c>
      <x:c r="I64" s="16" t="n">
        <x:v>0.925</x:v>
      </x:c>
      <x:c r="J64" s="16" t="n">
        <x:v>0.8157279550996607</x:v>
      </x:c>
      <x:c r="K64" t="n">
        <x:v>74</x:v>
      </x:c>
      <x:c r="L64" s="16" t="n">
        <x:v>1.3795510530471802</x:v>
      </x:c>
      <x:c r="M64" s="16" t="n">
        <x:v>0.925</x:v>
      </x:c>
      <x:c r="N64" s="16" t="n">
        <x:v>0.4808757349758</x:v>
      </x:c>
      <x:c r="O64" t="str">
        <x:v>[0.2819883487425052,0.23004567217811267,0.2418324841180668,0.24613355606530615]</x:v>
      </x:c>
      <x:c r="P64" s="16" t="n">
        <x:v>0.23004567217811267</x:v>
      </x:c>
      <x:c r="Q64" s="16" t="n">
        <x:v>288.07305908203125</x:v>
      </x:c>
    </x:row>
    <x:row r="65">
      <x:c r="A65" t="str">
        <x:v>sin_K5_C5</x:v>
      </x:c>
      <x:c r="B65" t="n">
        <x:v>0</x:v>
      </x:c>
      <x:c r="C65" t="str">
        <x:v>pure</x:v>
      </x:c>
      <x:c r="D65"/>
      <x:c r="E65" t="str">
        <x:v>baseline</x:v>
      </x:c>
      <x:c r="F65" s="16" t="n">
        <x:v>3.046510934829712</x:v>
      </x:c>
      <x:c r="G65" s="16" t="n">
        <x:v>0.78</x:v>
      </x:c>
      <x:c r="H65" s="16" t="n">
        <x:v>0.701050326519861</x:v>
      </x:c>
      <x:c r="I65" s="16"/>
      <x:c r="J65" s="16"/>
      <x:c r="K65"/>
      <x:c r="L65" s="16"/>
      <x:c r="M65" s="16"/>
      <x:c r="N65" s="16"/>
      <x:c r="O65"/>
      <x:c r="P65" s="16"/>
      <x:c r="Q65" s="16"/>
    </x:row>
    <x:row r="66">
      <x:c r="A66" t="str">
        <x:v>sin_K5_C5</x:v>
      </x:c>
      <x:c r="B66" t="n">
        <x:v>0</x:v>
      </x:c>
      <x:c r="C66" t="str">
        <x:v>wishart_a1</x:v>
      </x:c>
      <x:c r="D66" t="n">
        <x:v>1</x:v>
      </x:c>
      <x:c r="E66" t="str">
        <x:v>baseline</x:v>
      </x:c>
      <x:c r="F66" s="16" t="n">
        <x:v>3.0090620517730713</x:v>
      </x:c>
      <x:c r="G66" s="16" t="n">
        <x:v>0.985</x:v>
      </x:c>
      <x:c r="H66" s="16" t="n">
        <x:v>0.961223077707387</x:v>
      </x:c>
      <x:c r="I66" s="16" t="n">
        <x:v>0.985</x:v>
      </x:c>
      <x:c r="J66" s="16" t="n">
        <x:v>0.961223077707387</x:v>
      </x:c>
      <x:c r="K66" t="n">
        <x:v>70</x:v>
      </x:c>
      <x:c r="L66" s="16" t="n">
        <x:v>2.7120180130004883</x:v>
      </x:c>
      <x:c r="M66" s="16" t="n">
        <x:v>0.96</x:v>
      </x:c>
      <x:c r="N66" s="16" t="n">
        <x:v>0.32310108976079</x:v>
      </x:c>
      <x:c r="O66" t="str">
        <x:v>[0.20331568584063403,0.19610188253949465,0.194642526539582,0.1995080272884236,0.20643188479955712]</x:v>
      </x:c>
      <x:c r="P66" s="16" t="n">
        <x:v>0.194642526539582</x:v>
      </x:c>
      <x:c r="Q66" s="16" t="n">
        <x:v>311.42803955078125</x:v>
      </x:c>
    </x:row>
    <x:row r="67">
      <x:c r="A67" t="str">
        <x:v>sin_K5_C5</x:v>
      </x:c>
      <x:c r="B67" t="n">
        <x:v>0</x:v>
      </x:c>
      <x:c r="C67" t="str">
        <x:v>wishart_a81</x:v>
      </x:c>
      <x:c r="D67" t="n">
        <x:v>81</x:v>
      </x:c>
      <x:c r="E67" t="str">
        <x:v>phase_c_new</x:v>
      </x:c>
      <x:c r="F67" s="16" t="n">
        <x:v>3.014692783355713</x:v>
      </x:c>
      <x:c r="G67" s="16" t="n">
        <x:v>0.99</x:v>
      </x:c>
      <x:c r="H67" s="16" t="n">
        <x:v>0.9734778362864706</x:v>
      </x:c>
      <x:c r="I67" s="16" t="n">
        <x:v>0.985</x:v>
      </x:c>
      <x:c r="J67" s="16" t="n">
        <x:v>0.961223077707387</x:v>
      </x:c>
      <x:c r="K67" t="n">
        <x:v>74</x:v>
      </x:c>
      <x:c r="L67" s="16" t="n">
        <x:v>2.709538459777832</x:v>
      </x:c>
      <x:c r="M67" s="16" t="n">
        <x:v>0.97</x:v>
      </x:c>
      <x:c r="N67" s="16" t="n">
        <x:v>0.20399860633044</x:v>
      </x:c>
      <x:c r="O67" t="str">
        <x:v>[0.20265825278994995,0.200985748872873,0.19685055917337668,0.19461074075491974,0.20489467770860467]</x:v>
      </x:c>
      <x:c r="P67" s="16" t="n">
        <x:v>0.19461074075491974</x:v>
      </x:c>
      <x:c r="Q67" s="16" t="n">
        <x:v>309.22149658203125</x:v>
      </x:c>
    </x:row>
    <x:row r="68">
      <x:c r="A68" t="str">
        <x:v>sin_K5_C5</x:v>
      </x:c>
      <x:c r="B68" t="n">
        <x:v>1</x:v>
      </x:c>
      <x:c r="C68" t="str">
        <x:v>pure</x:v>
      </x:c>
      <x:c r="D68"/>
      <x:c r="E68" t="str">
        <x:v>baseline</x:v>
      </x:c>
      <x:c r="F68" s="16" t="n">
        <x:v>3.049424409866333</x:v>
      </x:c>
      <x:c r="G68" s="16" t="n">
        <x:v>0.775</x:v>
      </x:c>
      <x:c r="H68" s="16" t="n">
        <x:v>0.6661594717903253</x:v>
      </x:c>
      <x:c r="I68" s="16"/>
      <x:c r="J68" s="16"/>
      <x:c r="K68"/>
      <x:c r="L68" s="16"/>
      <x:c r="M68" s="16"/>
      <x:c r="N68" s="16"/>
      <x:c r="O68"/>
      <x:c r="P68" s="16"/>
      <x:c r="Q68" s="16"/>
    </x:row>
    <x:row r="69">
      <x:c r="A69" t="str">
        <x:v>sin_K5_C5</x:v>
      </x:c>
      <x:c r="B69" t="n">
        <x:v>1</x:v>
      </x:c>
      <x:c r="C69" t="str">
        <x:v>wishart_a1</x:v>
      </x:c>
      <x:c r="D69" t="n">
        <x:v>1</x:v>
      </x:c>
      <x:c r="E69" t="str">
        <x:v>baseline</x:v>
      </x:c>
      <x:c r="F69" s="16" t="n">
        <x:v>3.017014265060425</x:v>
      </x:c>
      <x:c r="G69" s="16" t="n">
        <x:v>0.995</x:v>
      </x:c>
      <x:c r="H69" s="16" t="n">
        <x:v>0.9865720939868003</x:v>
      </x:c>
      <x:c r="I69" s="16" t="n">
        <x:v>0.995</x:v>
      </x:c>
      <x:c r="J69" s="16" t="n">
        <x:v>0.9865720939868003</x:v>
      </x:c>
      <x:c r="K69" t="n">
        <x:v>72</x:v>
      </x:c>
      <x:c r="L69" s="16" t="n">
        <x:v>2.715951919555664</x:v>
      </x:c>
      <x:c r="M69" s="16" t="n">
        <x:v>0.975</x:v>
      </x:c>
      <x:c r="N69" s="16" t="n">
        <x:v>0.1951348501388</x:v>
      </x:c>
      <x:c r="O69" t="str">
        <x:v>[0.19509400347548642,0.20729782689696574,0.1950444955678571,0.1965728659359265,0.20599087828514243]</x:v>
      </x:c>
      <x:c r="P69" s="16" t="n">
        <x:v>0.1950444955678571</x:v>
      </x:c>
      <x:c r="Q69" s="16" t="n">
        <x:v>312.0711669921875</x:v>
      </x:c>
    </x:row>
    <x:row r="70">
      <x:c r="A70" t="str">
        <x:v>sin_K5_C5</x:v>
      </x:c>
      <x:c r="B70" t="n">
        <x:v>1</x:v>
      </x:c>
      <x:c r="C70" t="str">
        <x:v>wishart_a81</x:v>
      </x:c>
      <x:c r="D70" t="n">
        <x:v>81</x:v>
      </x:c>
      <x:c r="E70" t="str">
        <x:v>phase_c_new</x:v>
      </x:c>
      <x:c r="F70" s="16" t="n">
        <x:v>3.02180814743042</x:v>
      </x:c>
      <x:c r="G70" s="16" t="n">
        <x:v>0.995</x:v>
      </x:c>
      <x:c r="H70" s="16" t="n">
        <x:v>0.9880041638020169</x:v>
      </x:c>
      <x:c r="I70" s="16" t="n">
        <x:v>0.99</x:v>
      </x:c>
      <x:c r="J70" s="16" t="n">
        <x:v>0.974444532030376</x:v>
      </x:c>
      <x:c r="K70" t="n">
        <x:v>73</x:v>
      </x:c>
      <x:c r="L70" s="16" t="n">
        <x:v>2.7175650596618652</x:v>
      </x:c>
      <x:c r="M70" s="16" t="n">
        <x:v>0.965</x:v>
      </x:c>
      <x:c r="N70" s="16" t="n">
        <x:v>0.20046513307386</x:v>
      </x:c>
      <x:c r="O70" t="str">
        <x:v>[0.20185134271164332,0.20538491823154947,0.20023762378343024,0.188328035087696,0.20419808116718732]</x:v>
      </x:c>
      <x:c r="P70" s="16" t="n">
        <x:v>0.188328035087696</x:v>
      </x:c>
      <x:c r="Q70" s="16" t="n">
        <x:v>296.6560974121094</x:v>
      </x:c>
    </x:row>
    <x:row r="71">
      <x:c r="A71" t="str">
        <x:v>sin_K5_C5</x:v>
      </x:c>
      <x:c r="B71" t="n">
        <x:v>2</x:v>
      </x:c>
      <x:c r="C71" t="str">
        <x:v>pure</x:v>
      </x:c>
      <x:c r="D71"/>
      <x:c r="E71" t="str">
        <x:v>baseline</x:v>
      </x:c>
      <x:c r="F71" s="16" t="n">
        <x:v>3.0544300079345703</x:v>
      </x:c>
      <x:c r="G71" s="16" t="n">
        <x:v>0.78</x:v>
      </x:c>
      <x:c r="H71" s="16" t="n">
        <x:v>0.7066075644821148</x:v>
      </x:c>
      <x:c r="I71" s="16"/>
      <x:c r="J71" s="16"/>
      <x:c r="K71"/>
      <x:c r="L71" s="16"/>
      <x:c r="M71" s="16"/>
      <x:c r="N71" s="16"/>
      <x:c r="O71"/>
      <x:c r="P71" s="16"/>
      <x:c r="Q71" s="16"/>
    </x:row>
    <x:row r="72">
      <x:c r="A72" t="str">
        <x:v>sin_K5_C5</x:v>
      </x:c>
      <x:c r="B72" t="n">
        <x:v>2</x:v>
      </x:c>
      <x:c r="C72" t="str">
        <x:v>wishart_a1</x:v>
      </x:c>
      <x:c r="D72" t="n">
        <x:v>1</x:v>
      </x:c>
      <x:c r="E72" t="str">
        <x:v>baseline</x:v>
      </x:c>
      <x:c r="F72" s="16" t="n">
        <x:v>3.018782615661621</x:v>
      </x:c>
      <x:c r="G72" s="16" t="n">
        <x:v>0.985</x:v>
      </x:c>
      <x:c r="H72" s="16" t="n">
        <x:v>0.961223077707387</x:v>
      </x:c>
      <x:c r="I72" s="16" t="n">
        <x:v>0.985</x:v>
      </x:c>
      <x:c r="J72" s="16" t="n">
        <x:v>0.961223077707387</x:v>
      </x:c>
      <x:c r="K72" t="n">
        <x:v>74</x:v>
      </x:c>
      <x:c r="L72" s="16" t="n">
        <x:v>2.72108793258667</x:v>
      </x:c>
      <x:c r="M72" s="16" t="n">
        <x:v>0.955</x:v>
      </x:c>
      <x:c r="N72" s="16" t="n">
        <x:v>0.28045654943404</x:v>
      </x:c>
      <x:c r="O72" t="str">
        <x:v>[0.20779250444990205,0.20537534529268947,0.21494198324429659,0.1957185215646444,0.17617163953458315]</x:v>
      </x:c>
      <x:c r="P72" s="16" t="n">
        <x:v>0.17617163953458315</x:v>
      </x:c>
      <x:c r="Q72" s="16" t="n">
        <x:v>281.8746337890625</x:v>
      </x:c>
    </x:row>
    <x:row r="73">
      <x:c r="A73" t="str">
        <x:v>sin_K5_C5</x:v>
      </x:c>
      <x:c r="B73" t="n">
        <x:v>2</x:v>
      </x:c>
      <x:c r="C73" t="str">
        <x:v>wishart_a81</x:v>
      </x:c>
      <x:c r="D73" t="n">
        <x:v>81</x:v>
      </x:c>
      <x:c r="E73" t="str">
        <x:v>phase_c_new</x:v>
      </x:c>
      <x:c r="F73" s="16" t="n">
        <x:v>3.024773359298706</x:v>
      </x:c>
      <x:c r="G73" s="16" t="n">
        <x:v>0.99</x:v>
      </x:c>
      <x:c r="H73" s="16" t="n">
        <x:v>0.9734778362864706</x:v>
      </x:c>
      <x:c r="I73" s="16" t="n">
        <x:v>0.985</x:v>
      </x:c>
      <x:c r="J73" s="16" t="n">
        <x:v>0.961223077707387</x:v>
      </x:c>
      <x:c r="K73" t="n">
        <x:v>66</x:v>
      </x:c>
      <x:c r="L73" s="16" t="n">
        <x:v>2.7216413021087646</x:v>
      </x:c>
      <x:c r="M73" s="16" t="n">
        <x:v>0.96</x:v>
      </x:c>
      <x:c r="N73" s="16" t="n">
        <x:v>0.18449953488103</x:v>
      </x:c>
      <x:c r="O73" t="str">
        <x:v>[0.19777693340729,0.20504868853590016,0.2024830809943354,0.1964490364693827,0.19824227396563815]</x:v>
      </x:c>
      <x:c r="P73" s="16" t="n">
        <x:v>0.1964490364693827</x:v>
      </x:c>
      <x:c r="Q73" s="16" t="n">
        <x:v>312.8980712890625</x:v>
      </x:c>
    </x:row>
    <x:row r="74">
      <x:c r="A74" t="str">
        <x:v>trunc_K2_C5</x:v>
      </x:c>
      <x:c r="B74" t="n">
        <x:v>0</x:v>
      </x:c>
      <x:c r="C74" t="str">
        <x:v>pure</x:v>
      </x:c>
      <x:c r="D74"/>
      <x:c r="E74" t="str">
        <x:v>baseline</x:v>
      </x:c>
      <x:c r="F74" s="16" t="n">
        <x:v>3.615429401397705</x:v>
      </x:c>
      <x:c r="G74" s="16" t="n">
        <x:v>1</x:v>
      </x:c>
      <x:c r="H74" s="16" t="n">
        <x:v>1</x:v>
      </x:c>
      <x:c r="I74" s="16"/>
      <x:c r="J74" s="16"/>
      <x:c r="K74"/>
      <x:c r="L74" s="16"/>
      <x:c r="M74" s="16"/>
      <x:c r="N74" s="16"/>
      <x:c r="O74"/>
      <x:c r="P74" s="16"/>
      <x:c r="Q74" s="16"/>
    </x:row>
    <x:row r="75">
      <x:c r="A75" t="str">
        <x:v>trunc_K2_C5</x:v>
      </x:c>
      <x:c r="B75" t="n">
        <x:v>0</x:v>
      </x:c>
      <x:c r="C75" t="str">
        <x:v>wishart_a1</x:v>
      </x:c>
      <x:c r="D75" t="n">
        <x:v>1</x:v>
      </x:c>
      <x:c r="E75" t="str">
        <x:v>baseline</x:v>
      </x:c>
      <x:c r="F75" s="16" t="n">
        <x:v>3.615805149078369</x:v>
      </x:c>
      <x:c r="G75" s="16" t="n">
        <x:v>1</x:v>
      </x:c>
      <x:c r="H75" s="16" t="n">
        <x:v>1</x:v>
      </x:c>
      <x:c r="I75" s="16" t="n">
        <x:v>1</x:v>
      </x:c>
      <x:c r="J75" s="16" t="n">
        <x:v>1</x:v>
      </x:c>
      <x:c r="K75" t="n">
        <x:v>13</x:v>
      </x:c>
      <x:c r="L75" s="16" t="n">
        <x:v>3.6013829708099365</x:v>
      </x:c>
      <x:c r="M75" s="16" t="n">
        <x:v>1</x:v>
      </x:c>
      <x:c r="N75" s="16" t="n">
        <x:v>0.11878755436026</x:v>
      </x:c>
      <x:c r="O75" t="str">
        <x:v>[0.4984374958143576,0.5015625274373775]</x:v>
      </x:c>
      <x:c r="P75" s="16" t="n">
        <x:v>0.4984374958143576</x:v>
      </x:c>
      <x:c r="Q75" s="16" t="n">
        <x:v>319</x:v>
      </x:c>
    </x:row>
    <x:row r="76">
      <x:c r="A76" t="str">
        <x:v>trunc_K2_C5</x:v>
      </x:c>
      <x:c r="B76" t="n">
        <x:v>0</x:v>
      </x:c>
      <x:c r="C76" t="str">
        <x:v>wishart_a81</x:v>
      </x:c>
      <x:c r="D76" t="n">
        <x:v>81</x:v>
      </x:c>
      <x:c r="E76" t="str">
        <x:v>phase_c_new</x:v>
      </x:c>
      <x:c r="F76" s="16" t="n">
        <x:v>3.615814447402954</x:v>
      </x:c>
      <x:c r="G76" s="16" t="n">
        <x:v>1</x:v>
      </x:c>
      <x:c r="H76" s="16" t="n">
        <x:v>1</x:v>
      </x:c>
      <x:c r="I76" s="16" t="n">
        <x:v>1</x:v>
      </x:c>
      <x:c r="J76" s="16" t="n">
        <x:v>1</x:v>
      </x:c>
      <x:c r="K76" t="n">
        <x:v>13</x:v>
      </x:c>
      <x:c r="L76" s="16" t="n">
        <x:v>3.6013476848602295</x:v>
      </x:c>
      <x:c r="M76" s="16" t="n">
        <x:v>1</x:v>
      </x:c>
      <x:c r="N76" s="16" t="n">
        <x:v>0.11766742003197</x:v>
      </x:c>
      <x:c r="O76" t="str">
        <x:v>[0.4987499858611743,0.5012500379324406]</x:v>
      </x:c>
      <x:c r="P76" s="16" t="n">
        <x:v>0.4987499858611743</x:v>
      </x:c>
      <x:c r="Q76" s="16" t="n">
        <x:v>319</x:v>
      </x:c>
    </x:row>
    <x:row r="77">
      <x:c r="A77" t="str">
        <x:v>trunc_K2_C5</x:v>
      </x:c>
      <x:c r="B77" t="n">
        <x:v>1</x:v>
      </x:c>
      <x:c r="C77" t="str">
        <x:v>pure</x:v>
      </x:c>
      <x:c r="D77"/>
      <x:c r="E77" t="str">
        <x:v>baseline</x:v>
      </x:c>
      <x:c r="F77" s="16" t="n">
        <x:v>3.645220994949341</x:v>
      </x:c>
      <x:c r="G77" s="16" t="n">
        <x:v>0.525</x:v>
      </x:c>
      <x:c r="H77" s="16" t="n">
        <x:v>0</x:v>
      </x:c>
      <x:c r="I77" s="16"/>
      <x:c r="J77" s="16"/>
      <x:c r="K77"/>
      <x:c r="L77" s="16"/>
      <x:c r="M77" s="16"/>
      <x:c r="N77" s="16"/>
      <x:c r="O77"/>
      <x:c r="P77" s="16"/>
      <x:c r="Q77" s="16"/>
    </x:row>
    <x:row r="78">
      <x:c r="A78" t="str">
        <x:v>trunc_K2_C5</x:v>
      </x:c>
      <x:c r="B78" t="n">
        <x:v>1</x:v>
      </x:c>
      <x:c r="C78" t="str">
        <x:v>wishart_a1</x:v>
      </x:c>
      <x:c r="D78" t="n">
        <x:v>1</x:v>
      </x:c>
      <x:c r="E78" t="str">
        <x:v>baseline</x:v>
      </x:c>
      <x:c r="F78" s="16" t="n">
        <x:v>3.6172914505004883</x:v>
      </x:c>
      <x:c r="G78" s="16" t="n">
        <x:v>1</x:v>
      </x:c>
      <x:c r="H78" s="16" t="n">
        <x:v>1</x:v>
      </x:c>
      <x:c r="I78" s="16" t="n">
        <x:v>1</x:v>
      </x:c>
      <x:c r="J78" s="16" t="n">
        <x:v>1</x:v>
      </x:c>
      <x:c r="K78" t="n">
        <x:v>22</x:v>
      </x:c>
      <x:c r="L78" s="16" t="n">
        <x:v>3.601365327835083</x:v>
      </x:c>
      <x:c r="M78" s="16" t="n">
        <x:v>1</x:v>
      </x:c>
      <x:c r="N78" s="16" t="n">
        <x:v>0.10405869868176</x:v>
      </x:c>
      <x:c r="O78" t="str">
        <x:v>[0.4984374958143576,0.5015625274373775]</x:v>
      </x:c>
      <x:c r="P78" s="16" t="n">
        <x:v>0.4984374958143576</x:v>
      </x:c>
      <x:c r="Q78" s="16" t="n">
        <x:v>319</x:v>
      </x:c>
    </x:row>
    <x:row r="79">
      <x:c r="A79" t="str">
        <x:v>trunc_K2_C5</x:v>
      </x:c>
      <x:c r="B79" t="n">
        <x:v>1</x:v>
      </x:c>
      <x:c r="C79" t="str">
        <x:v>wishart_a81</x:v>
      </x:c>
      <x:c r="D79" t="n">
        <x:v>81</x:v>
      </x:c>
      <x:c r="E79" t="str">
        <x:v>phase_c_new</x:v>
      </x:c>
      <x:c r="F79" s="16" t="n">
        <x:v>3.6172549724578857</x:v>
      </x:c>
      <x:c r="G79" s="16" t="n">
        <x:v>1</x:v>
      </x:c>
      <x:c r="H79" s="16" t="n">
        <x:v>1</x:v>
      </x:c>
      <x:c r="I79" s="16" t="n">
        <x:v>1</x:v>
      </x:c>
      <x:c r="J79" s="16" t="n">
        <x:v>1</x:v>
      </x:c>
      <x:c r="K79" t="n">
        <x:v>22</x:v>
      </x:c>
      <x:c r="L79" s="16" t="n">
        <x:v>3.6012935638427734</x:v>
      </x:c>
      <x:c r="M79" s="16" t="n">
        <x:v>1</x:v>
      </x:c>
      <x:c r="N79" s="16" t="n">
        <x:v>0.11218931743754</x:v>
      </x:c>
      <x:c r="O79" t="str">
        <x:v>[0.4987499858611743,0.5012500379324406]</x:v>
      </x:c>
      <x:c r="P79" s="16" t="n">
        <x:v>0.4987499858611743</x:v>
      </x:c>
      <x:c r="Q79" s="16" t="n">
        <x:v>319</x:v>
      </x:c>
    </x:row>
    <x:row r="80">
      <x:c r="A80" t="str">
        <x:v>trunc_K2_C5</x:v>
      </x:c>
      <x:c r="B80" t="n">
        <x:v>2</x:v>
      </x:c>
      <x:c r="C80" t="str">
        <x:v>pure</x:v>
      </x:c>
      <x:c r="D80"/>
      <x:c r="E80" t="str">
        <x:v>baseline</x:v>
      </x:c>
      <x:c r="F80" s="16" t="n">
        <x:v>3.6430437564849854</x:v>
      </x:c>
      <x:c r="G80" s="16" t="n">
        <x:v>0.525</x:v>
      </x:c>
      <x:c r="H80" s="16" t="n">
        <x:v>0</x:v>
      </x:c>
      <x:c r="I80" s="16"/>
      <x:c r="J80" s="16"/>
      <x:c r="K80"/>
      <x:c r="L80" s="16"/>
      <x:c r="M80" s="16"/>
      <x:c r="N80" s="16"/>
      <x:c r="O80"/>
      <x:c r="P80" s="16"/>
      <x:c r="Q80" s="16"/>
    </x:row>
    <x:row r="81">
      <x:c r="A81" t="str">
        <x:v>trunc_K2_C5</x:v>
      </x:c>
      <x:c r="B81" t="n">
        <x:v>2</x:v>
      </x:c>
      <x:c r="C81" t="str">
        <x:v>wishart_a1</x:v>
      </x:c>
      <x:c r="D81" t="n">
        <x:v>1</x:v>
      </x:c>
      <x:c r="E81" t="str">
        <x:v>baseline</x:v>
      </x:c>
      <x:c r="F81" s="16" t="n">
        <x:v>3.6165881156921387</x:v>
      </x:c>
      <x:c r="G81" s="16" t="n">
        <x:v>1</x:v>
      </x:c>
      <x:c r="H81" s="16" t="n">
        <x:v>1</x:v>
      </x:c>
      <x:c r="I81" s="16" t="n">
        <x:v>1</x:v>
      </x:c>
      <x:c r="J81" s="16" t="n">
        <x:v>1</x:v>
      </x:c>
      <x:c r="K81" t="n">
        <x:v>22</x:v>
      </x:c>
      <x:c r="L81" s="16" t="n">
        <x:v>3.601245641708374</x:v>
      </x:c>
      <x:c r="M81" s="16" t="n">
        <x:v>1</x:v>
      </x:c>
      <x:c r="N81" s="16" t="n">
        <x:v>0.12506490135189</x:v>
      </x:c>
      <x:c r="O81" t="str">
        <x:v>[0.5015625274373775,0.4984374958143576]</x:v>
      </x:c>
      <x:c r="P81" s="16" t="n">
        <x:v>0.4984374958143576</x:v>
      </x:c>
      <x:c r="Q81" s="16" t="n">
        <x:v>319</x:v>
      </x:c>
    </x:row>
    <x:row r="82">
      <x:c r="A82" t="str">
        <x:v>trunc_K2_C5</x:v>
      </x:c>
      <x:c r="B82" t="n">
        <x:v>2</x:v>
      </x:c>
      <x:c r="C82" t="str">
        <x:v>wishart_a81</x:v>
      </x:c>
      <x:c r="D82" t="n">
        <x:v>81</x:v>
      </x:c>
      <x:c r="E82" t="str">
        <x:v>phase_c_new</x:v>
      </x:c>
      <x:c r="F82" s="16" t="n">
        <x:v>3.6169118881225586</x:v>
      </x:c>
      <x:c r="G82" s="16" t="n">
        <x:v>1</x:v>
      </x:c>
      <x:c r="H82" s="16" t="n">
        <x:v>1</x:v>
      </x:c>
      <x:c r="I82" s="16" t="n">
        <x:v>1</x:v>
      </x:c>
      <x:c r="J82" s="16" t="n">
        <x:v>1</x:v>
      </x:c>
      <x:c r="K82" t="n">
        <x:v>15</x:v>
      </x:c>
      <x:c r="L82" s="16" t="n">
        <x:v>3.603562116622925</x:v>
      </x:c>
      <x:c r="M82" s="16" t="n">
        <x:v>1</x:v>
      </x:c>
      <x:c r="N82" s="16" t="n">
        <x:v>0.0956480463439</x:v>
      </x:c>
      <x:c r="O82" t="str">
        <x:v>[0.5012500379324406,0.4987499858611743]</x:v>
      </x:c>
      <x:c r="P82" s="16" t="n">
        <x:v>0.4987499858611743</x:v>
      </x:c>
      <x:c r="Q82" s="16" t="n">
        <x:v>319</x:v>
      </x:c>
    </x:row>
    <x:row r="83">
      <x:c r="A83" t="str">
        <x:v>trunc_K3_C5</x:v>
      </x:c>
      <x:c r="B83" t="n">
        <x:v>0</x:v>
      </x:c>
      <x:c r="C83" t="str">
        <x:v>pure</x:v>
      </x:c>
      <x:c r="D83"/>
      <x:c r="E83" t="str">
        <x:v>baseline</x:v>
      </x:c>
      <x:c r="F83" s="16" t="n">
        <x:v>4.161583423614502</x:v>
      </x:c>
      <x:c r="G83" s="16" t="n">
        <x:v>0.9833333333333333</x:v>
      </x:c>
      <x:c r="H83" s="16" t="n">
        <x:v>0.9505138546012598</x:v>
      </x:c>
      <x:c r="I83" s="16"/>
      <x:c r="J83" s="16"/>
      <x:c r="K83"/>
      <x:c r="L83" s="16"/>
      <x:c r="M83" s="16"/>
      <x:c r="N83" s="16"/>
      <x:c r="O83"/>
      <x:c r="P83" s="16"/>
      <x:c r="Q83" s="16"/>
    </x:row>
    <x:row r="84">
      <x:c r="A84" t="str">
        <x:v>trunc_K3_C5</x:v>
      </x:c>
      <x:c r="B84" t="n">
        <x:v>0</x:v>
      </x:c>
      <x:c r="C84" t="str">
        <x:v>wishart_a1</x:v>
      </x:c>
      <x:c r="D84" t="n">
        <x:v>1</x:v>
      </x:c>
      <x:c r="E84" t="str">
        <x:v>baseline</x:v>
      </x:c>
      <x:c r="F84" s="16" t="n">
        <x:v>4.160820960998535</x:v>
      </x:c>
      <x:c r="G84" s="16" t="n">
        <x:v>0.975</x:v>
      </x:c>
      <x:c r="H84" s="16" t="n">
        <x:v>0.9269364667007943</x:v>
      </x:c>
      <x:c r="I84" s="16" t="n">
        <x:v>0.975</x:v>
      </x:c>
      <x:c r="J84" s="16" t="n">
        <x:v>0.9269364667007943</x:v>
      </x:c>
      <x:c r="K84" t="n">
        <x:v>27</x:v>
      </x:c>
      <x:c r="L84" s="16" t="n">
        <x:v>4.085436820983887</x:v>
      </x:c>
      <x:c r="M84" s="16" t="n">
        <x:v>0.9583333333333334</x:v>
      </x:c>
      <x:c r="N84" s="16" t="n">
        <x:v>0.04992909747533</x:v>
      </x:c>
      <x:c r="O84" t="str">
        <x:v>[0.339124333447856,0.31930516614329557,0.3415705653406587]</x:v>
      </x:c>
      <x:c r="P84" s="16" t="n">
        <x:v>0.31930516614329557</x:v>
      </x:c>
      <x:c r="Q84" s="16" t="n">
        <x:v>306.5329284667969</x:v>
      </x:c>
    </x:row>
    <x:row r="85">
      <x:c r="A85" t="str">
        <x:v>trunc_K3_C5</x:v>
      </x:c>
      <x:c r="B85" t="n">
        <x:v>0</x:v>
      </x:c>
      <x:c r="C85" t="str">
        <x:v>wishart_a81</x:v>
      </x:c>
      <x:c r="D85" t="n">
        <x:v>81</x:v>
      </x:c>
      <x:c r="E85" t="str">
        <x:v>phase_c_new</x:v>
      </x:c>
      <x:c r="F85" s="16" t="n">
        <x:v>4.1611647605896</x:v>
      </x:c>
      <x:c r="G85" s="16" t="n">
        <x:v>0.9833333333333333</x:v>
      </x:c>
      <x:c r="H85" s="16" t="n">
        <x:v>0.9505996090865425</x:v>
      </x:c>
      <x:c r="I85" s="16" t="n">
        <x:v>0.9833333333333333</x:v>
      </x:c>
      <x:c r="J85" s="16" t="n">
        <x:v>0.9505996090865425</x:v>
      </x:c>
      <x:c r="K85" t="n">
        <x:v>28</x:v>
      </x:c>
      <x:c r="L85" s="16" t="n">
        <x:v>4.085580348968506</x:v>
      </x:c>
      <x:c r="M85" s="16" t="n">
        <x:v>0.9666666666666667</x:v>
      </x:c>
      <x:c r="N85" s="16" t="n">
        <x:v>0.03486970699007</x:v>
      </x:c>
      <x:c r="O85" t="str">
        <x:v>[0.3443935680490155,0.3191805684586409,0.3364258861766632]</x:v>
      </x:c>
      <x:c r="P85" s="16" t="n">
        <x:v>0.3191805684586409</x:v>
      </x:c>
      <x:c r="Q85" s="16" t="n">
        <x:v>303.01666259765625</x:v>
      </x:c>
    </x:row>
    <x:row r="86">
      <x:c r="A86" t="str">
        <x:v>trunc_K3_C5</x:v>
      </x:c>
      <x:c r="B86" t="n">
        <x:v>1</x:v>
      </x:c>
      <x:c r="C86" t="str">
        <x:v>pure</x:v>
      </x:c>
      <x:c r="D86"/>
      <x:c r="E86" t="str">
        <x:v>baseline</x:v>
      </x:c>
      <x:c r="F86" s="16" t="n">
        <x:v>4.192091941833496</x:v>
      </x:c>
      <x:c r="G86" s="16" t="n">
        <x:v>0.6916666666666667</x:v>
      </x:c>
      <x:c r="H86" s="16" t="n">
        <x:v>0.569598239555888</x:v>
      </x:c>
      <x:c r="I86" s="16"/>
      <x:c r="J86" s="16"/>
      <x:c r="K86"/>
      <x:c r="L86" s="16"/>
      <x:c r="M86" s="16"/>
      <x:c r="N86" s="16"/>
      <x:c r="O86"/>
      <x:c r="P86" s="16"/>
      <x:c r="Q86" s="16"/>
    </x:row>
    <x:row r="87">
      <x:c r="A87" t="str">
        <x:v>trunc_K3_C5</x:v>
      </x:c>
      <x:c r="B87" t="n">
        <x:v>1</x:v>
      </x:c>
      <x:c r="C87" t="str">
        <x:v>wishart_a1</x:v>
      </x:c>
      <x:c r="D87" t="n">
        <x:v>1</x:v>
      </x:c>
      <x:c r="E87" t="str">
        <x:v>baseline</x:v>
      </x:c>
      <x:c r="F87" s="16" t="n">
        <x:v>4.1618971824646</x:v>
      </x:c>
      <x:c r="G87" s="16" t="n">
        <x:v>0.9833333333333333</x:v>
      </x:c>
      <x:c r="H87" s="16" t="n">
        <x:v>0.9505996090865425</x:v>
      </x:c>
      <x:c r="I87" s="16" t="n">
        <x:v>0.9833333333333333</x:v>
      </x:c>
      <x:c r="J87" s="16" t="n">
        <x:v>0.9505996090865425</x:v>
      </x:c>
      <x:c r="K87" t="n">
        <x:v>27</x:v>
      </x:c>
      <x:c r="L87" s="16" t="n">
        <x:v>4.084275722503662</x:v>
      </x:c>
      <x:c r="M87" s="16" t="n">
        <x:v>0.9583333333333334</x:v>
      </x:c>
      <x:c r="N87" s="16" t="n">
        <x:v>0.0975674250694</x:v>
      </x:c>
      <x:c r="O87" t="str">
        <x:v>[0.32434342753836737,0.3406985560154499,0.334958002995187]</x:v>
      </x:c>
      <x:c r="P87" s="16" t="n">
        <x:v>0.32434342753836737</x:v>
      </x:c>
      <x:c r="Q87" s="16" t="n">
        <x:v>311.36968994140625</x:v>
      </x:c>
    </x:row>
    <x:row r="88">
      <x:c r="A88" t="str">
        <x:v>trunc_K3_C5</x:v>
      </x:c>
      <x:c r="B88" t="n">
        <x:v>1</x:v>
      </x:c>
      <x:c r="C88" t="str">
        <x:v>wishart_a81</x:v>
      </x:c>
      <x:c r="D88" t="n">
        <x:v>81</x:v>
      </x:c>
      <x:c r="E88" t="str">
        <x:v>phase_c_new</x:v>
      </x:c>
      <x:c r="F88" s="16" t="n">
        <x:v>4.161842346191406</x:v>
      </x:c>
      <x:c r="G88" s="16" t="n">
        <x:v>0.9833333333333333</x:v>
      </x:c>
      <x:c r="H88" s="16" t="n">
        <x:v>0.9505996090865425</x:v>
      </x:c>
      <x:c r="I88" s="16" t="n">
        <x:v>0.9833333333333333</x:v>
      </x:c>
      <x:c r="J88" s="16" t="n">
        <x:v>0.9505996090865425</x:v>
      </x:c>
      <x:c r="K88" t="n">
        <x:v>27</x:v>
      </x:c>
      <x:c r="L88" s="16" t="n">
        <x:v>4.084228038787842</x:v>
      </x:c>
      <x:c r="M88" s="16" t="n">
        <x:v>0.9583333333333334</x:v>
      </x:c>
      <x:c r="N88" s="16" t="n">
        <x:v>0.09831616824192</x:v>
      </x:c>
      <x:c r="O88" t="str">
        <x:v>[0.32597196314941096,0.3391507331567391,0.33487727405162265]</x:v>
      </x:c>
      <x:c r="P88" s="16" t="n">
        <x:v>0.32597196314941096</x:v>
      </x:c>
      <x:c r="Q88" s="16" t="n">
        <x:v>311.1663818359375</x:v>
      </x:c>
    </x:row>
    <x:row r="89">
      <x:c r="A89" t="str">
        <x:v>trunc_K3_C5</x:v>
      </x:c>
      <x:c r="B89" t="n">
        <x:v>2</x:v>
      </x:c>
      <x:c r="C89" t="str">
        <x:v>pure</x:v>
      </x:c>
      <x:c r="D89"/>
      <x:c r="E89" t="str">
        <x:v>baseline</x:v>
      </x:c>
      <x:c r="F89" s="16" t="n">
        <x:v>4.163209438323975</x:v>
      </x:c>
      <x:c r="G89" s="16" t="n">
        <x:v>0.975</x:v>
      </x:c>
      <x:c r="H89" s="16" t="n">
        <x:v>0.9266826660208604</x:v>
      </x:c>
      <x:c r="I89" s="16"/>
      <x:c r="J89" s="16"/>
      <x:c r="K89"/>
      <x:c r="L89" s="16"/>
      <x:c r="M89" s="16"/>
      <x:c r="N89" s="16"/>
      <x:c r="O89"/>
      <x:c r="P89" s="16"/>
      <x:c r="Q89" s="16"/>
    </x:row>
    <x:row r="90">
      <x:c r="A90" t="str">
        <x:v>trunc_K3_C5</x:v>
      </x:c>
      <x:c r="B90" t="n">
        <x:v>2</x:v>
      </x:c>
      <x:c r="C90" t="str">
        <x:v>wishart_a1</x:v>
      </x:c>
      <x:c r="D90" t="n">
        <x:v>1</x:v>
      </x:c>
      <x:c r="E90" t="str">
        <x:v>baseline</x:v>
      </x:c>
      <x:c r="F90" s="16" t="n">
        <x:v>4.161426067352295</x:v>
      </x:c>
      <x:c r="G90" s="16" t="n">
        <x:v>0.9833333333333333</x:v>
      </x:c>
      <x:c r="H90" s="16" t="n">
        <x:v>0.9505996090865425</x:v>
      </x:c>
      <x:c r="I90" s="16" t="n">
        <x:v>0.9833333333333333</x:v>
      </x:c>
      <x:c r="J90" s="16" t="n">
        <x:v>0.9505996090865425</x:v>
      </x:c>
      <x:c r="K90" t="n">
        <x:v>29</x:v>
      </x:c>
      <x:c r="L90" s="16" t="n">
        <x:v>4.084572792053223</x:v>
      </x:c>
      <x:c r="M90" s="16" t="n">
        <x:v>0.9583333333333334</x:v>
      </x:c>
      <x:c r="N90" s="16" t="n">
        <x:v>0.03799689360287</x:v>
      </x:c>
      <x:c r="O90" t="str">
        <x:v>[0.34154043506517245,0.31876237657838336,0.3396973004332334]</x:v>
      </x:c>
      <x:c r="P90" s="16" t="n">
        <x:v>0.31876237657838336</x:v>
      </x:c>
      <x:c r="Q90" s="16" t="n">
        <x:v>306.0118408203125</x:v>
      </x:c>
    </x:row>
    <x:row r="91">
      <x:c r="A91" t="str">
        <x:v>trunc_K3_C5</x:v>
      </x:c>
      <x:c r="B91" t="n">
        <x:v>2</x:v>
      </x:c>
      <x:c r="C91" t="str">
        <x:v>wishart_a81</x:v>
      </x:c>
      <x:c r="D91" t="n">
        <x:v>81</x:v>
      </x:c>
      <x:c r="E91" t="str">
        <x:v>phase_c_new</x:v>
      </x:c>
      <x:c r="F91" s="16" t="n">
        <x:v>4.161501407623291</x:v>
      </x:c>
      <x:c r="G91" s="16" t="n">
        <x:v>0.9833333333333333</x:v>
      </x:c>
      <x:c r="H91" s="16" t="n">
        <x:v>0.9505996090865425</x:v>
      </x:c>
      <x:c r="I91" s="16" t="n">
        <x:v>0.9833333333333333</x:v>
      </x:c>
      <x:c r="J91" s="16" t="n">
        <x:v>0.9505996090865425</x:v>
      </x:c>
      <x:c r="K91" t="n">
        <x:v>29</x:v>
      </x:c>
      <x:c r="L91" s="16" t="n">
        <x:v>4.08457612991333</x:v>
      </x:c>
      <x:c r="M91" s="16" t="n">
        <x:v>0.9583333333333334</x:v>
      </x:c>
      <x:c r="N91" s="16" t="n">
        <x:v>0.03884067836378</x:v>
      </x:c>
      <x:c r="O91" t="str">
        <x:v>[0.3399157200613969,0.3210006512258086,0.33908358571106284]</x:v>
      </x:c>
      <x:c r="P91" s="16" t="n">
        <x:v>0.3210006512258086</x:v>
      </x:c>
      <x:c r="Q91" s="16" t="n">
        <x:v>305.2008056640625</x:v>
      </x:c>
    </x:row>
    <x:row r="92">
      <x:c r="A92" t="str">
        <x:v>trunc_K4_C5</x:v>
      </x:c>
      <x:c r="B92" t="n">
        <x:v>0</x:v>
      </x:c>
      <x:c r="C92" t="str">
        <x:v>pure</x:v>
      </x:c>
      <x:c r="D92"/>
      <x:c r="E92" t="str">
        <x:v>baseline</x:v>
      </x:c>
      <x:c r="F92" s="16" t="n">
        <x:v>3.8215951919555664</x:v>
      </x:c>
      <x:c r="G92" s="16" t="n">
        <x:v>0.78125</x:v>
      </x:c>
      <x:c r="H92" s="16" t="n">
        <x:v>0.6158465311422024</x:v>
      </x:c>
      <x:c r="I92" s="16"/>
      <x:c r="J92" s="16"/>
      <x:c r="K92"/>
      <x:c r="L92" s="16"/>
      <x:c r="M92" s="16"/>
      <x:c r="N92" s="16"/>
      <x:c r="O92"/>
      <x:c r="P92" s="16"/>
      <x:c r="Q92" s="16"/>
    </x:row>
    <x:row r="93">
      <x:c r="A93" t="str">
        <x:v>trunc_K4_C5</x:v>
      </x:c>
      <x:c r="B93" t="n">
        <x:v>0</x:v>
      </x:c>
      <x:c r="C93" t="str">
        <x:v>wishart_a1</x:v>
      </x:c>
      <x:c r="D93" t="n">
        <x:v>1</x:v>
      </x:c>
      <x:c r="E93" t="str">
        <x:v>baseline</x:v>
      </x:c>
      <x:c r="F93" s="16" t="n">
        <x:v>3.802870750427246</x:v>
      </x:c>
      <x:c r="G93" s="16" t="n">
        <x:v>0.9875</x:v>
      </x:c>
      <x:c r="H93" s="16" t="n">
        <x:v>0.9654733196288965</x:v>
      </x:c>
      <x:c r="I93" s="16" t="n">
        <x:v>0.9875</x:v>
      </x:c>
      <x:c r="J93" s="16" t="n">
        <x:v>0.9654733196288965</x:v>
      </x:c>
      <x:c r="K93" t="n">
        <x:v>32</x:v>
      </x:c>
      <x:c r="L93" s="16" t="n">
        <x:v>3.9247095584869385</x:v>
      </x:c>
      <x:c r="M93" s="16" t="n">
        <x:v>0.98125</x:v>
      </x:c>
      <x:c r="N93" s="16" t="n">
        <x:v>0.1110030761479</x:v>
      </x:c>
      <x:c r="O93" t="str">
        <x:v>[0.2415156052703767,0.25234017391431524,0.2492752755760706,0.2568689434224991]</x:v>
      </x:c>
      <x:c r="P93" s="16" t="n">
        <x:v>0.2415156052703767</x:v>
      </x:c>
      <x:c r="Q93" s="16" t="n">
        <x:v>309.13995361328125</x:v>
      </x:c>
    </x:row>
    <x:row r="94">
      <x:c r="A94" t="str">
        <x:v>trunc_K4_C5</x:v>
      </x:c>
      <x:c r="B94" t="n">
        <x:v>0</x:v>
      </x:c>
      <x:c r="C94" t="str">
        <x:v>wishart_a81</x:v>
      </x:c>
      <x:c r="D94" t="n">
        <x:v>81</x:v>
      </x:c>
      <x:c r="E94" t="str">
        <x:v>phase_c_new</x:v>
      </x:c>
      <x:c r="F94" s="16" t="n">
        <x:v>3.8034508228302</x:v>
      </x:c>
      <x:c r="G94" s="16" t="n">
        <x:v>0.98125</x:v>
      </x:c>
      <x:c r="H94" s="16" t="n">
        <x:v>0.9493433366109437</x:v>
      </x:c>
      <x:c r="I94" s="16" t="n">
        <x:v>0.9875</x:v>
      </x:c>
      <x:c r="J94" s="16" t="n">
        <x:v>0.9654733196288965</x:v>
      </x:c>
      <x:c r="K94" t="n">
        <x:v>32</x:v>
      </x:c>
      <x:c r="L94" s="16" t="n">
        <x:v>3.924544095993042</x:v>
      </x:c>
      <x:c r="M94" s="16" t="n">
        <x:v>0.98125</x:v>
      </x:c>
      <x:c r="N94" s="16" t="n">
        <x:v>0.09146314834948</x:v>
      </x:c>
      <x:c r="O94" t="str">
        <x:v>[0.24332512158070513,0.25187251280962414,0.24929209535903352,0.2555102445618542]</x:v>
      </x:c>
      <x:c r="P94" s="16" t="n">
        <x:v>0.24332512158070513</x:v>
      </x:c>
      <x:c r="Q94" s="16" t="n">
        <x:v>309.3201904296875</x:v>
      </x:c>
    </x:row>
    <x:row r="95">
      <x:c r="A95" t="str">
        <x:v>trunc_K4_C5</x:v>
      </x:c>
      <x:c r="B95" t="n">
        <x:v>1</x:v>
      </x:c>
      <x:c r="C95" t="str">
        <x:v>pure</x:v>
      </x:c>
      <x:c r="D95"/>
      <x:c r="E95" t="str">
        <x:v>baseline</x:v>
      </x:c>
      <x:c r="F95" s="16" t="n">
        <x:v>3.8538501262664795</x:v>
      </x:c>
      <x:c r="G95" s="16" t="n">
        <x:v>0.53125</x:v>
      </x:c>
      <x:c r="H95" s="16" t="n">
        <x:v>0.33273758767888867</x:v>
      </x:c>
      <x:c r="I95" s="16"/>
      <x:c r="J95" s="16"/>
      <x:c r="K95"/>
      <x:c r="L95" s="16"/>
      <x:c r="M95" s="16"/>
      <x:c r="N95" s="16"/>
      <x:c r="O95"/>
      <x:c r="P95" s="16"/>
      <x:c r="Q95" s="16"/>
    </x:row>
    <x:row r="96">
      <x:c r="A96" t="str">
        <x:v>trunc_K4_C5</x:v>
      </x:c>
      <x:c r="B96" t="n">
        <x:v>1</x:v>
      </x:c>
      <x:c r="C96" t="str">
        <x:v>wishart_a1</x:v>
      </x:c>
      <x:c r="D96" t="n">
        <x:v>1</x:v>
      </x:c>
      <x:c r="E96" t="str">
        <x:v>baseline</x:v>
      </x:c>
      <x:c r="F96" s="16" t="n">
        <x:v>3.8013415336608887</x:v>
      </x:c>
      <x:c r="G96" s="16" t="n">
        <x:v>0.99375</x:v>
      </x:c>
      <x:c r="H96" s="16" t="n">
        <x:v>0.9835683013029263</x:v>
      </x:c>
      <x:c r="I96" s="16" t="n">
        <x:v>0.99375</x:v>
      </x:c>
      <x:c r="J96" s="16" t="n">
        <x:v>0.9835683013029263</x:v>
      </x:c>
      <x:c r="K96" t="n">
        <x:v>25</x:v>
      </x:c>
      <x:c r="L96" s="16" t="n">
        <x:v>3.924222469329834</x:v>
      </x:c>
      <x:c r="M96" s="16" t="n">
        <x:v>0.98125</x:v>
      </x:c>
      <x:c r="N96" s="16" t="n">
        <x:v>0.13658117370489</x:v>
      </x:c>
      <x:c r="O96" t="str">
        <x:v>[0.2523353609533582,0.2500070026915075,0.24138818156582956,0.2562694386625307]</x:v>
      </x:c>
      <x:c r="P96" s="16" t="n">
        <x:v>0.24138818156582956</x:v>
      </x:c>
      <x:c r="Q96" s="16" t="n">
        <x:v>308.97686767578125</x:v>
      </x:c>
    </x:row>
    <x:row r="97">
      <x:c r="A97" t="str">
        <x:v>trunc_K4_C5</x:v>
      </x:c>
      <x:c r="B97" t="n">
        <x:v>1</x:v>
      </x:c>
      <x:c r="C97" t="str">
        <x:v>wishart_a81</x:v>
      </x:c>
      <x:c r="D97" t="n">
        <x:v>81</x:v>
      </x:c>
      <x:c r="E97" t="str">
        <x:v>phase_c_new</x:v>
      </x:c>
      <x:c r="F97" s="16" t="n">
        <x:v>3.801388740539551</x:v>
      </x:c>
      <x:c r="G97" s="16" t="n">
        <x:v>0.99375</x:v>
      </x:c>
      <x:c r="H97" s="16" t="n">
        <x:v>0.9835683013029263</x:v>
      </x:c>
      <x:c r="I97" s="16" t="n">
        <x:v>0.99375</x:v>
      </x:c>
      <x:c r="J97" s="16" t="n">
        <x:v>0.9835683013029263</x:v>
      </x:c>
      <x:c r="K97" t="n">
        <x:v>25</x:v>
      </x:c>
      <x:c r="L97" s="16" t="n">
        <x:v>3.9242262840270996</x:v>
      </x:c>
      <x:c r="M97" s="16" t="n">
        <x:v>0.98125</x:v>
      </x:c>
      <x:c r="N97" s="16" t="n">
        <x:v>0.13655592309255</x:v>
      </x:c>
      <x:c r="O97" t="str">
        <x:v>[0.2518682191935275,0.24996477518441898,0.24316514469882433,0.2550018692112886]</x:v>
      </x:c>
      <x:c r="P97" s="16" t="n">
        <x:v>0.24316514469882433</x:v>
      </x:c>
      <x:c r="Q97" s="16" t="n">
        <x:v>309.064208984375</x:v>
      </x:c>
    </x:row>
    <x:row r="98">
      <x:c r="A98" t="str">
        <x:v>trunc_K4_C5</x:v>
      </x:c>
      <x:c r="B98" t="n">
        <x:v>2</x:v>
      </x:c>
      <x:c r="C98" t="str">
        <x:v>pure</x:v>
      </x:c>
      <x:c r="D98"/>
      <x:c r="E98" t="str">
        <x:v>baseline</x:v>
      </x:c>
      <x:c r="F98" s="16" t="n">
        <x:v>3.821936845779419</x:v>
      </x:c>
      <x:c r="G98" s="16" t="n">
        <x:v>0.78125</x:v>
      </x:c>
      <x:c r="H98" s="16" t="n">
        <x:v>0.6407141463901398</x:v>
      </x:c>
      <x:c r="I98" s="16"/>
      <x:c r="J98" s="16"/>
      <x:c r="K98"/>
      <x:c r="L98" s="16"/>
      <x:c r="M98" s="16"/>
      <x:c r="N98" s="16"/>
      <x:c r="O98"/>
      <x:c r="P98" s="16"/>
      <x:c r="Q98" s="16"/>
    </x:row>
    <x:row r="99">
      <x:c r="A99" t="str">
        <x:v>trunc_K4_C5</x:v>
      </x:c>
      <x:c r="B99" t="n">
        <x:v>2</x:v>
      </x:c>
      <x:c r="C99" t="str">
        <x:v>wishart_a1</x:v>
      </x:c>
      <x:c r="D99" t="n">
        <x:v>1</x:v>
      </x:c>
      <x:c r="E99" t="str">
        <x:v>baseline</x:v>
      </x:c>
      <x:c r="F99" s="16" t="n">
        <x:v>3.802577495574951</x:v>
      </x:c>
      <x:c r="G99" s="16" t="n">
        <x:v>0.9875</x:v>
      </x:c>
      <x:c r="H99" s="16" t="n">
        <x:v>0.9654733196288965</x:v>
      </x:c>
      <x:c r="I99" s="16" t="n">
        <x:v>0.9875</x:v>
      </x:c>
      <x:c r="J99" s="16" t="n">
        <x:v>0.9654733196288965</x:v>
      </x:c>
      <x:c r="K99" t="n">
        <x:v>40</x:v>
      </x:c>
      <x:c r="L99" s="16" t="n">
        <x:v>3.9234209060668945</x:v>
      </x:c>
      <x:c r="M99" s="16" t="n">
        <x:v>0.9875</x:v>
      </x:c>
      <x:c r="N99" s="16" t="n">
        <x:v>0.08467623541838</x:v>
      </x:c>
      <x:c r="O99" t="str">
        <x:v>[0.2523285327225088,0.25617420240554656,0.24910206220505654,0.24239515277134277]</x:v>
      </x:c>
      <x:c r="P99" s="16" t="n">
        <x:v>0.24239515277134277</x:v>
      </x:c>
      <x:c r="Q99" s="16" t="n">
        <x:v>310.26580810546875</x:v>
      </x:c>
    </x:row>
    <x:row r="100">
      <x:c r="A100" t="str">
        <x:v>trunc_K4_C5</x:v>
      </x:c>
      <x:c r="B100" t="n">
        <x:v>2</x:v>
      </x:c>
      <x:c r="C100" t="str">
        <x:v>wishart_a81</x:v>
      </x:c>
      <x:c r="D100" t="n">
        <x:v>81</x:v>
      </x:c>
      <x:c r="E100" t="str">
        <x:v>phase_c_new</x:v>
      </x:c>
      <x:c r="F100" s="16" t="n">
        <x:v>3.802797794342041</x:v>
      </x:c>
      <x:c r="G100" s="16" t="n">
        <x:v>0.9875</x:v>
      </x:c>
      <x:c r="H100" s="16" t="n">
        <x:v>0.9654733196288965</x:v>
      </x:c>
      <x:c r="I100" s="16" t="n">
        <x:v>0.9875</x:v>
      </x:c>
      <x:c r="J100" s="16" t="n">
        <x:v>0.9654733196288965</x:v>
      </x:c>
      <x:c r="K100" t="n">
        <x:v>26</x:v>
      </x:c>
      <x:c r="L100" s="16" t="n">
        <x:v>3.9241888523101807</x:v>
      </x:c>
      <x:c r="M100" s="16" t="n">
        <x:v>0.9875</x:v>
      </x:c>
      <x:c r="N100" s="16" t="n">
        <x:v>0.07722825287377</x:v>
      </x:c>
      <x:c r="O100" t="str">
        <x:v>[0.2518735937315027,0.2545322184122758,0.24946282388689844,0.24413138799612655]</x:v>
      </x:c>
      <x:c r="P100" s="16" t="n">
        <x:v>0.24413138799612655</x:v>
      </x:c>
      <x:c r="Q100" s="16" t="n">
        <x:v>310.6102294921875</x:v>
      </x:c>
    </x:row>
    <x:row r="101">
      <x:c r="A101" t="str">
        <x:v>trunc_K5_C5</x:v>
      </x:c>
      <x:c r="B101" t="n">
        <x:v>0</x:v>
      </x:c>
      <x:c r="C101" t="str">
        <x:v>pure</x:v>
      </x:c>
      <x:c r="D101"/>
      <x:c r="E101" t="str">
        <x:v>baseline</x:v>
      </x:c>
      <x:c r="F101" s="16" t="n">
        <x:v>3.9291982650756836</x:v>
      </x:c>
      <x:c r="G101" s="16" t="n">
        <x:v>0.965</x:v>
      </x:c>
      <x:c r="H101" s="16" t="n">
        <x:v>0.9153379123039297</x:v>
      </x:c>
      <x:c r="I101" s="16"/>
      <x:c r="J101" s="16"/>
      <x:c r="K101"/>
      <x:c r="L101" s="16"/>
      <x:c r="M101" s="16"/>
      <x:c r="N101" s="16"/>
      <x:c r="O101"/>
      <x:c r="P101" s="16"/>
      <x:c r="Q101" s="16"/>
    </x:row>
    <x:row r="102">
      <x:c r="A102" t="str">
        <x:v>trunc_K5_C5</x:v>
      </x:c>
      <x:c r="B102" t="n">
        <x:v>0</x:v>
      </x:c>
      <x:c r="C102" t="str">
        <x:v>wishart_a1</x:v>
      </x:c>
      <x:c r="D102" t="n">
        <x:v>1</x:v>
      </x:c>
      <x:c r="E102" t="str">
        <x:v>baseline</x:v>
      </x:c>
      <x:c r="F102" s="16" t="n">
        <x:v>3.9273152351379395</x:v>
      </x:c>
      <x:c r="G102" s="16" t="n">
        <x:v>0.97</x:v>
      </x:c>
      <x:c r="H102" s="16" t="n">
        <x:v>0.9269387712286664</x:v>
      </x:c>
      <x:c r="I102" s="16" t="n">
        <x:v>0.97</x:v>
      </x:c>
      <x:c r="J102" s="16" t="n">
        <x:v>0.9269387712286664</x:v>
      </x:c>
      <x:c r="K102" t="n">
        <x:v>31</x:v>
      </x:c>
      <x:c r="L102" s="16" t="n">
        <x:v>4.139756202697754</x:v>
      </x:c>
      <x:c r="M102" s="16" t="n">
        <x:v>0.94</x:v>
      </x:c>
      <x:c r="N102" s="16" t="n">
        <x:v>0.05384956762435</x:v>
      </x:c>
      <x:c r="O102" t="str">
        <x:v>[0.19169981508368736,0.20231064114751304,0.20374134680713396,0.20042196253955077,0.20182619890766257]</x:v>
      </x:c>
      <x:c r="P102" s="16" t="n">
        <x:v>0.19169981508368736</x:v>
      </x:c>
      <x:c r="Q102" s="16" t="n">
        <x:v>306.7197265625</x:v>
      </x:c>
    </x:row>
    <x:row r="103">
      <x:c r="A103" t="str">
        <x:v>trunc_K5_C5</x:v>
      </x:c>
      <x:c r="B103" t="n">
        <x:v>0</x:v>
      </x:c>
      <x:c r="C103" t="str">
        <x:v>wishart_a81</x:v>
      </x:c>
      <x:c r="D103" t="n">
        <x:v>81</x:v>
      </x:c>
      <x:c r="E103" t="str">
        <x:v>phase_c_new</x:v>
      </x:c>
      <x:c r="F103" s="16" t="n">
        <x:v>3.927316427230835</x:v>
      </x:c>
      <x:c r="G103" s="16" t="n">
        <x:v>0.97</x:v>
      </x:c>
      <x:c r="H103" s="16" t="n">
        <x:v>0.9269387712286664</x:v>
      </x:c>
      <x:c r="I103" s="16" t="n">
        <x:v>0.97</x:v>
      </x:c>
      <x:c r="J103" s="16" t="n">
        <x:v>0.9269387712286664</x:v>
      </x:c>
      <x:c r="K103" t="n">
        <x:v>31</x:v>
      </x:c>
      <x:c r="L103" s="16" t="n">
        <x:v>4.139750957489014</x:v>
      </x:c>
      <x:c r="M103" s="16" t="n">
        <x:v>0.94</x:v>
      </x:c>
      <x:c r="N103" s="16" t="n">
        <x:v>0.0545418487112</x:v>
      </x:c>
      <x:c r="O103" t="str">
        <x:v>[0.1934161726714571,0.20186722462281995,0.20295013132188996,0.2003047341167252,0.2014617133488807]</x:v>
      </x:c>
      <x:c r="P103" s="16" t="n">
        <x:v>0.1934161726714571</x:v>
      </x:c>
      <x:c r="Q103" s="16" t="n">
        <x:v>306.8323669433594</x:v>
      </x:c>
    </x:row>
    <x:row r="104">
      <x:c r="A104" t="str">
        <x:v>trunc_K5_C5</x:v>
      </x:c>
      <x:c r="B104" t="n">
        <x:v>1</x:v>
      </x:c>
      <x:c r="C104" t="str">
        <x:v>pure</x:v>
      </x:c>
      <x:c r="D104"/>
      <x:c r="E104" t="str">
        <x:v>baseline</x:v>
      </x:c>
      <x:c r="F104" s="16" t="n">
        <x:v>3.9636662006378174</x:v>
      </x:c>
      <x:c r="G104" s="16" t="n">
        <x:v>0.59</x:v>
      </x:c>
      <x:c r="H104" s="16" t="n">
        <x:v>0.4617996295203689</x:v>
      </x:c>
      <x:c r="I104" s="16"/>
      <x:c r="J104" s="16"/>
      <x:c r="K104"/>
      <x:c r="L104" s="16"/>
      <x:c r="M104" s="16"/>
      <x:c r="N104" s="16"/>
      <x:c r="O104"/>
      <x:c r="P104" s="16"/>
      <x:c r="Q104" s="16"/>
    </x:row>
    <x:row r="105">
      <x:c r="A105" t="str">
        <x:v>trunc_K5_C5</x:v>
      </x:c>
      <x:c r="B105" t="n">
        <x:v>1</x:v>
      </x:c>
      <x:c r="C105" t="str">
        <x:v>wishart_a1</x:v>
      </x:c>
      <x:c r="D105" t="n">
        <x:v>1</x:v>
      </x:c>
      <x:c r="E105" t="str">
        <x:v>baseline</x:v>
      </x:c>
      <x:c r="F105" s="16" t="n">
        <x:v>3.9262328147888184</x:v>
      </x:c>
      <x:c r="G105" s="16" t="n">
        <x:v>0.97</x:v>
      </x:c>
      <x:c r="H105" s="16" t="n">
        <x:v>0.9276673560231777</x:v>
      </x:c>
      <x:c r="I105" s="16" t="n">
        <x:v>0.97</x:v>
      </x:c>
      <x:c r="J105" s="16" t="n">
        <x:v>0.9276673560231777</x:v>
      </x:c>
      <x:c r="K105" t="n">
        <x:v>23</x:v>
      </x:c>
      <x:c r="L105" s="16" t="n">
        <x:v>4.141440391540527</x:v>
      </x:c>
      <x:c r="M105" s="16" t="n">
        <x:v>0.945</x:v>
      </x:c>
      <x:c r="N105" s="16" t="n">
        <x:v>0.10076440265824</x:v>
      </x:c>
      <x:c r="O105" t="str">
        <x:v>[0.20073205960672527,0.1980121343214794,0.19110657255103383,0.20829377544865793,0.20185550557661158]</x:v>
      </x:c>
      <x:c r="P105" s="16" t="n">
        <x:v>0.19110657255103383</x:v>
      </x:c>
      <x:c r="Q105" s="16" t="n">
        <x:v>305.7705078125</x:v>
      </x:c>
    </x:row>
    <x:row r="106">
      <x:c r="A106" t="str">
        <x:v>trunc_K5_C5</x:v>
      </x:c>
      <x:c r="B106" t="n">
        <x:v>1</x:v>
      </x:c>
      <x:c r="C106" t="str">
        <x:v>wishart_a81</x:v>
      </x:c>
      <x:c r="D106" t="n">
        <x:v>81</x:v>
      </x:c>
      <x:c r="E106" t="str">
        <x:v>phase_c_new</x:v>
      </x:c>
      <x:c r="F106" s="16" t="n">
        <x:v>3.926588773727417</x:v>
      </x:c>
      <x:c r="G106" s="16" t="n">
        <x:v>0.97</x:v>
      </x:c>
      <x:c r="H106" s="16" t="n">
        <x:v>0.9276673560231777</x:v>
      </x:c>
      <x:c r="I106" s="16" t="n">
        <x:v>0.97</x:v>
      </x:c>
      <x:c r="J106" s="16" t="n">
        <x:v>0.9276673560231777</x:v>
      </x:c>
      <x:c r="K106" t="n">
        <x:v>23</x:v>
      </x:c>
      <x:c r="L106" s="16" t="n">
        <x:v>4.141851425170898</x:v>
      </x:c>
      <x:c r="M106" s="16" t="n">
        <x:v>0.945</x:v>
      </x:c>
      <x:c r="N106" s="16" t="n">
        <x:v>0.09000055749245</x:v>
      </x:c>
      <x:c r="O106" t="str">
        <x:v>[0.20065129113037028,0.19841030003592355,0.19278868186094558,0.206663015007325,0.20148671566833992]</x:v>
      </x:c>
      <x:c r="P106" s="16" t="n">
        <x:v>0.19278868186094558</x:v>
      </x:c>
      <x:c r="Q106" s="16" t="n">
        <x:v>305.577392578125</x:v>
      </x:c>
    </x:row>
    <x:row r="107">
      <x:c r="A107" t="str">
        <x:v>trunc_K5_C5</x:v>
      </x:c>
      <x:c r="B107" t="n">
        <x:v>2</x:v>
      </x:c>
      <x:c r="C107" t="str">
        <x:v>pure</x:v>
      </x:c>
      <x:c r="D107"/>
      <x:c r="E107" t="str">
        <x:v>baseline</x:v>
      </x:c>
      <x:c r="F107" s="16" t="n">
        <x:v>3.9286081790924072</x:v>
      </x:c>
      <x:c r="G107" s="16" t="n">
        <x:v>0.975</x:v>
      </x:c>
      <x:c r="H107" s="16" t="n">
        <x:v>0.938793519680745</x:v>
      </x:c>
      <x:c r="I107" s="16"/>
      <x:c r="J107" s="16"/>
      <x:c r="K107"/>
      <x:c r="L107" s="16"/>
      <x:c r="M107" s="16"/>
      <x:c r="N107" s="16"/>
      <x:c r="O107"/>
      <x:c r="P107" s="16"/>
      <x:c r="Q107" s="16"/>
    </x:row>
    <x:row r="108">
      <x:c r="A108" t="str">
        <x:v>trunc_K5_C5</x:v>
      </x:c>
      <x:c r="B108" t="n">
        <x:v>2</x:v>
      </x:c>
      <x:c r="C108" t="str">
        <x:v>wishart_a1</x:v>
      </x:c>
      <x:c r="D108" t="n">
        <x:v>1</x:v>
      </x:c>
      <x:c r="E108" t="str">
        <x:v>baseline</x:v>
      </x:c>
      <x:c r="F108" s="16" t="n">
        <x:v>3.9291932582855225</x:v>
      </x:c>
      <x:c r="G108" s="16" t="n">
        <x:v>0.975</x:v>
      </x:c>
      <x:c r="H108" s="16" t="n">
        <x:v>0.9398834021014638</x:v>
      </x:c>
      <x:c r="I108" s="16" t="n">
        <x:v>0.975</x:v>
      </x:c>
      <x:c r="J108" s="16" t="n">
        <x:v>0.9398834021014638</x:v>
      </x:c>
      <x:c r="K108" t="n">
        <x:v>55</x:v>
      </x:c>
      <x:c r="L108" s="16" t="n">
        <x:v>4.141133785247803</x:v>
      </x:c>
      <x:c r="M108" s="16" t="n">
        <x:v>0.945</x:v>
      </x:c>
      <x:c r="N108" s="16" t="n">
        <x:v>0.01462189236814</x:v>
      </x:c>
      <x:c r="O108" t="str">
        <x:v>[0.19985256262398368,0.20187644151697598,0.20919523211965935,0.18930881362760635,0.1997669564942336]</x:v>
      </x:c>
      <x:c r="P108" s="16" t="n">
        <x:v>0.18930881362760635</x:v>
      </x:c>
      <x:c r="Q108" s="16" t="n">
        <x:v>302.89410400390625</x:v>
      </x:c>
    </x:row>
    <x:row r="109">
      <x:c r="A109" t="str">
        <x:v>trunc_K5_C5</x:v>
      </x:c>
      <x:c r="B109" t="n">
        <x:v>2</x:v>
      </x:c>
      <x:c r="C109" t="str">
        <x:v>wishart_a81</x:v>
      </x:c>
      <x:c r="D109" t="n">
        <x:v>81</x:v>
      </x:c>
      <x:c r="E109" t="str">
        <x:v>phase_c_new</x:v>
      </x:c>
      <x:c r="F109" s="16" t="n">
        <x:v>3.929696559906006</x:v>
      </x:c>
      <x:c r="G109" s="16" t="n">
        <x:v>0.975</x:v>
      </x:c>
      <x:c r="H109" s="16" t="n">
        <x:v>0.9396964171659316</x:v>
      </x:c>
      <x:c r="I109" s="16" t="n">
        <x:v>0.975</x:v>
      </x:c>
      <x:c r="J109" s="16" t="n">
        <x:v>0.9396964171659316</x:v>
      </x:c>
      <x:c r="K109" t="n">
        <x:v>54</x:v>
      </x:c>
      <x:c r="L109" s="16" t="n">
        <x:v>4.1406779289245605</x:v>
      </x:c>
      <x:c r="M109" s="16" t="n">
        <x:v>0.95</x:v>
      </x:c>
      <x:c r="N109" s="16" t="n">
        <x:v>0</x:v>
      </x:c>
      <x:c r="O109" t="str">
        <x:v>[0.2002885453614908,0.20149248033197859,0.2051498615532738,0.19137451327888805,0.2016946600695396]</x:v>
      </x:c>
      <x:c r="P109" s="16" t="n">
        <x:v>0.19137451327888805</x:v>
      </x:c>
      <x:c r="Q109" s="16" t="n">
        <x:v>302.7490234375</x:v>
      </x:c>
    </x:row>
  </x:sheetData>
  <x:pageMargins left="0.7" right="0.7" top="0.75" bottom="0.75" header="0.3" footer="0.3"/>
  <x:tableParts count="1">
    <x:tablePart xmlns:r="http://schemas.openxmlformats.org/officeDocument/2006/relationships" r:id="R5fc272a776b54c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2" hidden="0" customWidth="1"/>
  </x:cols>
  <x:sheetData>
    <x:row r="1">
      <x:c r="A1" s="7" t="str">
        <x:v>Protocol field</x:v>
      </x:c>
      <x:c r="B1" s="8" t="str">
        <x:v>Value</x:v>
      </x:c>
    </x:row>
    <x:row r="2">
      <x:c r="A2" s="10" t="str">
        <x:v>Experiment</x:v>
      </x:c>
      <x:c r="B2" s="11" t="str">
        <x:v>DAN all-12 Dirichlet mixture-weight prior</x:v>
      </x:c>
    </x:row>
    <x:row r="3">
      <x:c r="A3" s="10" t="str">
        <x:v>Baseline Wishart a_pi</x:v>
      </x:c>
      <x:c r="B3" s="11" t="n">
        <x:v>1</x:v>
      </x:c>
    </x:row>
    <x:row r="4">
      <x:c r="A4" s="10" t="str">
        <x:v>Dirichlet Wishart a_pi</x:v>
      </x:c>
      <x:c r="B4" s="11" t="n">
        <x:v>81</x:v>
      </x:c>
    </x:row>
    <x:row r="5">
      <x:c r="A5" s="10" t="str">
        <x:v>Seeds</x:v>
      </x:c>
      <x:c r="B5" s="11" t="str">
        <x:v>0, 1, 2</x:v>
      </x:c>
    </x:row>
    <x:row r="6">
      <x:c r="A6" s="10" t="str">
        <x:v>Split seed</x:v>
      </x:c>
      <x:c r="B6" s="11" t="n">
        <x:v>42</x:v>
      </x:c>
    </x:row>
    <x:row r="7">
      <x:c r="A7" s="10" t="str">
        <x:v>Neural seeds</x:v>
      </x:c>
      <x:c r="B7" s="11" t="str">
        <x:v>2026082200, 2026082201, 2026082202</x:v>
      </x:c>
    </x:row>
    <x:row r="8">
      <x:c r="A8" s="10" t="str">
        <x:v>Near-collapse threshold</x:v>
      </x:c>
      <x:c r="B8" s="12" t="n">
        <x:v>0.05</x:v>
      </x:c>
    </x:row>
    <x:row r="9">
      <x:c r="A9" s="10" t="str">
        <x:v>Validation-purity threshold</x:v>
      </x:c>
      <x:c r="B9" s="12" t="n">
        <x:v>0.9</x:v>
      </x:c>
    </x:row>
    <x:row r="10">
      <x:c r="A10" s="10" t="str">
        <x:v>NLL delta sign</x:v>
      </x:c>
      <x:c r="B10" s="11" t="str">
        <x:v>a81 minus comparator; negative is better</x:v>
      </x:c>
    </x:row>
    <x:row r="11">
      <x:c r="A11" s="10" t="str">
        <x:v>Coverage</x:v>
      </x:c>
      <x:c r="B11" s="11" t="str">
        <x:v>33 new + 3 reused = 36</x:v>
      </x:c>
    </x:row>
    <x:row r="12">
      <x:c r="A12" s="10" t="str">
        <x:v>Baseline root</x:v>
      </x:c>
      <x:c r="B12" s="11" t="str">
        <x:v>runs/dan12_corrected_3seeds</x:v>
      </x:c>
    </x:row>
    <x:row r="13">
      <x:c r="A13" s="10" t="str">
        <x:v>Dirichlet root</x:v>
      </x:c>
      <x:c r="B13" s="11" t="str">
        <x:v>runs/dirichlet_weight_all12</x:v>
      </x:c>
    </x:row>
    <x:row r="14">
      <x:c r="A14" s="10" t="str">
        <x:v>Reused sin_K4 root</x:v>
      </x:c>
      <x:c r="B14" s="11" t="str">
        <x:v>runs/dirichlet_weight_sweep/alpha_81</x:v>
      </x:c>
    </x:row>
  </x:sheetData>
  <x:pageMargins left="0.7" right="0.7" top="0.75" bottom="0.75" header="0.3" footer="0.3"/>
</x:worksheet>
</file>